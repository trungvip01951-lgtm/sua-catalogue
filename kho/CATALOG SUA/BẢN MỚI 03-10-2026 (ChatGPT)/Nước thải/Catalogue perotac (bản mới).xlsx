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246C4FEB-8B7F-4209-8294-17B26C855A67}" xr6:coauthVersionLast="47" xr6:coauthVersionMax="47" xr10:uidLastSave="{00000000-0000-0000-0000-000000000000}"/>
  <bookViews>
    <workbookView xWindow="-16320" yWindow="-120" windowWidth="16440" windowHeight="28320" firstSheet="1" activeTab="1" xr2:uid="{00000000-000D-0000-FFFF-FFFF00000000}"/>
  </bookViews>
  <sheets>
    <sheet name="SGV" sheetId="2" state="veryHidden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J22" i="1"/>
  <c r="K22" i="1"/>
  <c r="L22" i="1"/>
  <c r="M22" i="1"/>
  <c r="N22" i="1"/>
  <c r="O22" i="1"/>
  <c r="P22" i="1"/>
  <c r="Q22" i="1"/>
  <c r="R22" i="1"/>
  <c r="H22" i="1"/>
</calcChain>
</file>

<file path=xl/sharedStrings.xml><?xml version="1.0" encoding="utf-8"?>
<sst xmlns="http://schemas.openxmlformats.org/spreadsheetml/2006/main" count="50" uniqueCount="50">
  <si>
    <t>SUBMERSIBLE SEWAGE PUMP</t>
  </si>
  <si>
    <t>SS</t>
  </si>
  <si>
    <t>Applications</t>
  </si>
  <si>
    <t>Operating conditions</t>
  </si>
  <si>
    <t>Motor and Pump</t>
  </si>
  <si>
    <t>Options in request</t>
  </si>
  <si>
    <t>Warranty: 1 year</t>
  </si>
  <si>
    <t>(according to our general sales conditions)</t>
  </si>
  <si>
    <t>Components</t>
  </si>
  <si>
    <t>Motor external casing</t>
  </si>
  <si>
    <t>Shaft</t>
  </si>
  <si>
    <t>Seal lubricant oil</t>
  </si>
  <si>
    <t>Graphite-Ceramic</t>
  </si>
  <si>
    <t>AISI 304 SS-ASTM 5140</t>
  </si>
  <si>
    <t>MODEL</t>
  </si>
  <si>
    <t>3 Phase
380 - 415V</t>
  </si>
  <si>
    <t>1 Phase
220-240V</t>
  </si>
  <si>
    <t>P₂</t>
  </si>
  <si>
    <t>SSM-180F</t>
  </si>
  <si>
    <t>SS-180</t>
  </si>
  <si>
    <t>SS-250</t>
  </si>
  <si>
    <t>SS-750</t>
  </si>
  <si>
    <t>SS-1100</t>
  </si>
  <si>
    <t>SS-1500</t>
  </si>
  <si>
    <t>SS-2200</t>
  </si>
  <si>
    <t>SSM-250F</t>
  </si>
  <si>
    <t>SSM-750F</t>
  </si>
  <si>
    <t>SSM-1100F</t>
  </si>
  <si>
    <t>SSM-1500F</t>
  </si>
  <si>
    <t>SSM-2200F</t>
  </si>
  <si>
    <t>kW</t>
  </si>
  <si>
    <t>HP</t>
  </si>
  <si>
    <t>DELIVERY                            N~2850 RPM</t>
  </si>
  <si>
    <t>Q</t>
  </si>
  <si>
    <t>m³/h</t>
  </si>
  <si>
    <t>l/min</t>
  </si>
  <si>
    <t>H(m)</t>
  </si>
  <si>
    <t>SS-3000</t>
  </si>
  <si>
    <t>Oil for food machinery</t>
  </si>
  <si>
    <t>Material</t>
  </si>
  <si>
    <t>Maximum fluid temperature up to +50°C</t>
  </si>
  <si>
    <t>Sewage treatment plants
Industrial draining
Agriculture irrigation</t>
  </si>
  <si>
    <r>
      <t xml:space="preserve">Rewindable motor
</t>
    </r>
    <r>
      <rPr>
        <b/>
        <sz val="7.5"/>
        <color theme="1"/>
        <rFont val="Calibri"/>
        <family val="2"/>
        <scheme val="minor"/>
      </rPr>
      <t>Single-phase</t>
    </r>
    <r>
      <rPr>
        <sz val="7.5"/>
        <color theme="1"/>
        <rFont val="Calibri"/>
        <family val="2"/>
        <scheme val="minor"/>
      </rPr>
      <t xml:space="preserve">:220 - 240V/50Hz
</t>
    </r>
    <r>
      <rPr>
        <b/>
        <sz val="7.5"/>
        <color theme="1"/>
        <rFont val="Calibri"/>
        <family val="2"/>
        <scheme val="minor"/>
      </rPr>
      <t>Three-phase</t>
    </r>
    <r>
      <rPr>
        <sz val="7.5"/>
        <color theme="1"/>
        <rFont val="Calibri"/>
        <family val="2"/>
        <scheme val="minor"/>
      </rPr>
      <t>: 380 - 415V/50Hz
Available with float switch
Can work in water containing fiber
Curve tolerance according to ISO 9906</t>
    </r>
  </si>
  <si>
    <t>Cast iron G20</t>
  </si>
  <si>
    <t>Special mechanical seal
Other voltages or frequency 60Hz</t>
  </si>
  <si>
    <t>SSM-450F</t>
  </si>
  <si>
    <t>SS-450</t>
  </si>
  <si>
    <t>SSM-150F</t>
  </si>
  <si>
    <t>SS-150</t>
  </si>
  <si>
    <t>Mechanical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</si>
</sst>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2"/>
      <color theme="3"/>
      <name val="Cooper Black"/>
      <family val="2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PERFORMANCE</a:t>
            </a:r>
            <a:r>
              <a:rPr lang="en-US" sz="1200" baseline="0"/>
              <a:t> CHART AT </a:t>
            </a:r>
            <a:r>
              <a:rPr lang="en-US" sz="1000" baseline="0"/>
              <a:t>N~2850 r/min</a:t>
            </a:r>
          </a:p>
        </c:rich>
      </c:tx>
      <c:layout>
        <c:manualLayout>
          <c:xMode val="edge"/>
          <c:yMode val="edge"/>
          <c:x val="0.20052855365061686"/>
          <c:y val="5.275304430757268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90523161172545"/>
          <c:y val="9.8088972972585148E-2"/>
          <c:w val="0.80225293597479008"/>
          <c:h val="0.65196459396586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SS-150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36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Sheet1!$G$24:$R$24</c:f>
              <c:numCache>
                <c:formatCode>General</c:formatCode>
                <c:ptCount val="12"/>
                <c:pt idx="0">
                  <c:v>6</c:v>
                </c:pt>
                <c:pt idx="1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39-4791-9463-0098D938C50B}"/>
            </c:ext>
          </c:extLst>
        </c:ser>
        <c:ser>
          <c:idx val="8"/>
          <c:order val="1"/>
          <c:tx>
            <c:strRef>
              <c:f>Sheet1!$B$25</c:f>
              <c:strCache>
                <c:ptCount val="1"/>
                <c:pt idx="0">
                  <c:v>SS-180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36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Sheet1!$G$25:$H$25</c:f>
              <c:numCache>
                <c:formatCode>General</c:formatCode>
                <c:ptCount val="2"/>
                <c:pt idx="0">
                  <c:v>7</c:v>
                </c:pt>
                <c:pt idx="1">
                  <c:v>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D39-4791-9463-0098D938C50B}"/>
            </c:ext>
          </c:extLst>
        </c:ser>
        <c:ser>
          <c:idx val="1"/>
          <c:order val="2"/>
          <c:tx>
            <c:strRef>
              <c:f>Sheet1!$B$26</c:f>
              <c:strCache>
                <c:ptCount val="1"/>
                <c:pt idx="0">
                  <c:v>SS-250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36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Sheet1!$G$26:$R$26</c:f>
              <c:numCache>
                <c:formatCode>General</c:formatCode>
                <c:ptCount val="12"/>
                <c:pt idx="0">
                  <c:v>8.5</c:v>
                </c:pt>
                <c:pt idx="1">
                  <c:v>5.4</c:v>
                </c:pt>
                <c:pt idx="2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39-4791-9463-0098D938C50B}"/>
            </c:ext>
          </c:extLst>
        </c:ser>
        <c:ser>
          <c:idx val="2"/>
          <c:order val="3"/>
          <c:tx>
            <c:strRef>
              <c:f>Sheet1!$B$27</c:f>
              <c:strCache>
                <c:ptCount val="1"/>
                <c:pt idx="0">
                  <c:v>SS-450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36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Sheet1!$G$27:$R$27</c:f>
              <c:numCache>
                <c:formatCode>General</c:formatCode>
                <c:ptCount val="12"/>
                <c:pt idx="0">
                  <c:v>12</c:v>
                </c:pt>
                <c:pt idx="1">
                  <c:v>10.7</c:v>
                </c:pt>
                <c:pt idx="2">
                  <c:v>9</c:v>
                </c:pt>
                <c:pt idx="3">
                  <c:v>6.7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39-4791-9463-0098D938C50B}"/>
            </c:ext>
          </c:extLst>
        </c:ser>
        <c:ser>
          <c:idx val="3"/>
          <c:order val="4"/>
          <c:tx>
            <c:strRef>
              <c:f>Sheet1!$B$28</c:f>
              <c:strCache>
                <c:ptCount val="1"/>
                <c:pt idx="0">
                  <c:v>SS-750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36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Sheet1!$G$28:$R$28</c:f>
              <c:numCache>
                <c:formatCode>General</c:formatCode>
                <c:ptCount val="12"/>
                <c:pt idx="0">
                  <c:v>14</c:v>
                </c:pt>
                <c:pt idx="1">
                  <c:v>13.1</c:v>
                </c:pt>
                <c:pt idx="2">
                  <c:v>12</c:v>
                </c:pt>
                <c:pt idx="3">
                  <c:v>10.5</c:v>
                </c:pt>
                <c:pt idx="4">
                  <c:v>6.1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39-4791-9463-0098D938C50B}"/>
            </c:ext>
          </c:extLst>
        </c:ser>
        <c:ser>
          <c:idx val="4"/>
          <c:order val="5"/>
          <c:tx>
            <c:strRef>
              <c:f>Sheet1!$B$29</c:f>
              <c:strCache>
                <c:ptCount val="1"/>
                <c:pt idx="0">
                  <c:v>SS-1100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36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Sheet1!$G$29:$R$29</c:f>
              <c:numCache>
                <c:formatCode>General</c:formatCode>
                <c:ptCount val="12"/>
                <c:pt idx="0">
                  <c:v>15</c:v>
                </c:pt>
                <c:pt idx="1">
                  <c:v>14.4</c:v>
                </c:pt>
                <c:pt idx="2">
                  <c:v>13.7</c:v>
                </c:pt>
                <c:pt idx="3">
                  <c:v>12.6</c:v>
                </c:pt>
                <c:pt idx="4">
                  <c:v>9.6</c:v>
                </c:pt>
                <c:pt idx="5">
                  <c:v>5.4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D39-4791-9463-0098D938C50B}"/>
            </c:ext>
          </c:extLst>
        </c:ser>
        <c:ser>
          <c:idx val="5"/>
          <c:order val="6"/>
          <c:tx>
            <c:strRef>
              <c:f>Sheet1!$B$30</c:f>
              <c:strCache>
                <c:ptCount val="1"/>
                <c:pt idx="0">
                  <c:v>SS-1500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36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Sheet1!$G$30:$R$30</c:f>
              <c:numCache>
                <c:formatCode>General</c:formatCode>
                <c:ptCount val="12"/>
                <c:pt idx="0">
                  <c:v>16</c:v>
                </c:pt>
                <c:pt idx="1">
                  <c:v>15.7</c:v>
                </c:pt>
                <c:pt idx="2">
                  <c:v>15.3</c:v>
                </c:pt>
                <c:pt idx="3">
                  <c:v>14.7</c:v>
                </c:pt>
                <c:pt idx="4">
                  <c:v>13.1</c:v>
                </c:pt>
                <c:pt idx="5">
                  <c:v>10.8</c:v>
                </c:pt>
                <c:pt idx="6">
                  <c:v>7.8</c:v>
                </c:pt>
                <c:pt idx="7">
                  <c:v>5.5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D39-4791-9463-0098D938C50B}"/>
            </c:ext>
          </c:extLst>
        </c:ser>
        <c:ser>
          <c:idx val="6"/>
          <c:order val="7"/>
          <c:tx>
            <c:strRef>
              <c:f>Sheet1!$B$31</c:f>
              <c:strCache>
                <c:ptCount val="1"/>
                <c:pt idx="0">
                  <c:v>SS-2200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36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Sheet1!$G$31:$R$31</c:f>
              <c:numCache>
                <c:formatCode>General</c:formatCode>
                <c:ptCount val="12"/>
                <c:pt idx="0">
                  <c:v>19</c:v>
                </c:pt>
                <c:pt idx="1">
                  <c:v>18.8</c:v>
                </c:pt>
                <c:pt idx="2">
                  <c:v>18.5</c:v>
                </c:pt>
                <c:pt idx="3">
                  <c:v>18.100000000000001</c:v>
                </c:pt>
                <c:pt idx="4">
                  <c:v>16.899999999999999</c:v>
                </c:pt>
                <c:pt idx="5">
                  <c:v>15.2</c:v>
                </c:pt>
                <c:pt idx="6">
                  <c:v>13.1</c:v>
                </c:pt>
                <c:pt idx="7">
                  <c:v>11.5</c:v>
                </c:pt>
                <c:pt idx="8">
                  <c:v>7.5</c:v>
                </c:pt>
                <c:pt idx="9">
                  <c:v>4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D39-4791-9463-0098D938C50B}"/>
            </c:ext>
          </c:extLst>
        </c:ser>
        <c:ser>
          <c:idx val="7"/>
          <c:order val="8"/>
          <c:tx>
            <c:strRef>
              <c:f>Sheet1!$B$32</c:f>
              <c:strCache>
                <c:ptCount val="1"/>
                <c:pt idx="0">
                  <c:v>SS-3000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Sheet1!$G$23:$R$23</c:f>
              <c:numCache>
                <c:formatCode>General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24</c:v>
                </c:pt>
                <c:pt idx="6">
                  <c:v>30</c:v>
                </c:pt>
                <c:pt idx="7">
                  <c:v>36</c:v>
                </c:pt>
                <c:pt idx="8">
                  <c:v>42</c:v>
                </c:pt>
                <c:pt idx="9">
                  <c:v>48</c:v>
                </c:pt>
                <c:pt idx="10">
                  <c:v>54</c:v>
                </c:pt>
                <c:pt idx="11">
                  <c:v>60</c:v>
                </c:pt>
              </c:numCache>
            </c:numRef>
          </c:xVal>
          <c:yVal>
            <c:numRef>
              <c:f>Sheet1!$G$32:$R$32</c:f>
              <c:numCache>
                <c:formatCode>General</c:formatCode>
                <c:ptCount val="12"/>
                <c:pt idx="0">
                  <c:v>22</c:v>
                </c:pt>
                <c:pt idx="1">
                  <c:v>21.8</c:v>
                </c:pt>
                <c:pt idx="2">
                  <c:v>21.5</c:v>
                </c:pt>
                <c:pt idx="3">
                  <c:v>21.1</c:v>
                </c:pt>
                <c:pt idx="4">
                  <c:v>20</c:v>
                </c:pt>
                <c:pt idx="5">
                  <c:v>18.5</c:v>
                </c:pt>
                <c:pt idx="6">
                  <c:v>16.5</c:v>
                </c:pt>
                <c:pt idx="7">
                  <c:v>14.9</c:v>
                </c:pt>
                <c:pt idx="8">
                  <c:v>11.2</c:v>
                </c:pt>
                <c:pt idx="9">
                  <c:v>7.9</c:v>
                </c:pt>
                <c:pt idx="10">
                  <c:v>4.2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D39-4791-9463-0098D938C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955520"/>
        <c:axId val="2039957152"/>
      </c:scatterChart>
      <c:valAx>
        <c:axId val="203995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Flow rate Q (m³/h)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57152"/>
        <c:crosses val="autoZero"/>
        <c:crossBetween val="midCat"/>
      </c:valAx>
      <c:valAx>
        <c:axId val="20399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Total</a:t>
                </a:r>
                <a:r>
                  <a:rPr lang="en-US" sz="800" baseline="0"/>
                  <a:t> dynamic head H(m)</a:t>
                </a:r>
                <a:endParaRPr lang="en-US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55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758311694923894E-2"/>
          <c:y val="0.88297295366957174"/>
          <c:w val="0.93514103151570704"/>
          <c:h val="8.53754267825560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42386</xdr:colOff>
      <xdr:row>12</xdr:row>
      <xdr:rowOff>193891</xdr:rowOff>
    </xdr:from>
    <xdr:to>
      <xdr:col>16</xdr:col>
      <xdr:colOff>35655</xdr:colOff>
      <xdr:row>19</xdr:row>
      <xdr:rowOff>82827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7343" y="3887934"/>
          <a:ext cx="2022508" cy="1951306"/>
        </a:xfrm>
        <a:prstGeom prst="rect">
          <a:avLst/>
        </a:prstGeom>
      </xdr:spPr>
    </xdr:pic>
    <xdr:clientData/>
  </xdr:twoCellAnchor>
  <xdr:twoCellAnchor>
    <xdr:from>
      <xdr:col>4</xdr:col>
      <xdr:colOff>33130</xdr:colOff>
      <xdr:row>1</xdr:row>
      <xdr:rowOff>21429</xdr:rowOff>
    </xdr:from>
    <xdr:to>
      <xdr:col>17</xdr:col>
      <xdr:colOff>72126</xdr:colOff>
      <xdr:row>12</xdr:row>
      <xdr:rowOff>238124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57456</xdr:colOff>
      <xdr:row>0</xdr:row>
      <xdr:rowOff>0</xdr:rowOff>
    </xdr:from>
    <xdr:to>
      <xdr:col>16</xdr:col>
      <xdr:colOff>136994</xdr:colOff>
      <xdr:row>0</xdr:row>
      <xdr:rowOff>544551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9C1B7F-FFFF-2878-CA23-3697F8BBC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2195" y="0"/>
          <a:ext cx="1532805" cy="542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"/>
  <sheetViews>
    <sheetView tabSelected="1" zoomScale="115" zoomScaleNormal="115" workbookViewId="0">
      <selection activeCell="S4" sqref="S4"/>
    </sheetView>
  </sheetViews>
  <sheetFormatPr defaultRowHeight="14.4"/>
  <cols>
    <col min="1" max="2" width="9.44140625" customWidth="1"/>
    <col min="3" max="4" width="5" customWidth="1"/>
    <col min="5" max="5" width="3.5546875" customWidth="1"/>
    <col min="6" max="6" width="6.6640625" customWidth="1"/>
    <col min="7" max="18" width="4.109375" customWidth="1"/>
  </cols>
  <sheetData>
    <row r="1" spans="1:18" ht="43.2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28.2">
      <c r="A2" s="18" t="s">
        <v>1</v>
      </c>
      <c r="B2" s="18"/>
      <c r="C2" s="18"/>
      <c r="D2" s="18"/>
      <c r="E2" s="5"/>
      <c r="F2" s="5"/>
      <c r="G2" s="5"/>
      <c r="H2" s="5"/>
      <c r="I2" s="5"/>
    </row>
    <row r="3" spans="1:18">
      <c r="A3" s="16" t="s">
        <v>2</v>
      </c>
      <c r="B3" s="16"/>
      <c r="C3" s="16"/>
      <c r="D3" s="16"/>
      <c r="E3" s="1"/>
      <c r="F3" s="1"/>
      <c r="G3" s="1"/>
      <c r="H3" s="1"/>
      <c r="I3" s="1"/>
    </row>
    <row r="4" spans="1:18" ht="32.25" customHeight="1">
      <c r="A4" s="15" t="s">
        <v>41</v>
      </c>
      <c r="B4" s="15"/>
      <c r="C4" s="15"/>
      <c r="D4" s="15"/>
      <c r="E4" s="2"/>
      <c r="F4" s="2"/>
      <c r="G4" s="2"/>
      <c r="H4" s="2"/>
      <c r="I4" s="2"/>
    </row>
    <row r="5" spans="1:18">
      <c r="A5" s="16" t="s">
        <v>3</v>
      </c>
      <c r="B5" s="16"/>
      <c r="C5" s="16"/>
      <c r="D5" s="16"/>
      <c r="E5" s="1"/>
      <c r="F5" s="1"/>
      <c r="G5" s="1"/>
      <c r="H5" s="1"/>
      <c r="I5" s="1"/>
    </row>
    <row r="6" spans="1:18" ht="14.25" customHeight="1">
      <c r="A6" s="15" t="s">
        <v>40</v>
      </c>
      <c r="B6" s="15"/>
      <c r="C6" s="15"/>
      <c r="D6" s="15"/>
      <c r="E6" s="2"/>
      <c r="F6" s="2"/>
      <c r="G6" s="2"/>
      <c r="H6" s="2"/>
      <c r="I6" s="2"/>
    </row>
    <row r="7" spans="1:18">
      <c r="A7" s="16" t="s">
        <v>4</v>
      </c>
      <c r="B7" s="16"/>
      <c r="C7" s="16"/>
      <c r="D7" s="16"/>
      <c r="E7" s="1"/>
      <c r="F7" s="1"/>
      <c r="G7" s="1"/>
      <c r="H7" s="1"/>
      <c r="I7" s="1"/>
    </row>
    <row r="8" spans="1:18" ht="64.5" customHeight="1">
      <c r="A8" s="15" t="s">
        <v>42</v>
      </c>
      <c r="B8" s="15"/>
      <c r="C8" s="15"/>
      <c r="D8" s="15"/>
      <c r="E8" s="2"/>
      <c r="F8" s="2"/>
      <c r="G8" s="2"/>
      <c r="H8" s="2"/>
      <c r="I8" s="2"/>
    </row>
    <row r="9" spans="1:18">
      <c r="A9" s="16" t="s">
        <v>5</v>
      </c>
      <c r="B9" s="16"/>
      <c r="C9" s="16"/>
      <c r="D9" s="16"/>
      <c r="E9" s="1"/>
      <c r="F9" s="1"/>
      <c r="G9" s="1"/>
      <c r="H9" s="1"/>
      <c r="I9" s="1"/>
    </row>
    <row r="10" spans="1:18" ht="22.5" customHeight="1">
      <c r="A10" s="15" t="s">
        <v>44</v>
      </c>
      <c r="B10" s="15"/>
      <c r="C10" s="15"/>
      <c r="D10" s="15"/>
      <c r="E10" s="2"/>
      <c r="F10" s="2"/>
      <c r="G10" s="2"/>
      <c r="H10" s="2"/>
      <c r="I10" s="2"/>
    </row>
    <row r="11" spans="1:18">
      <c r="A11" s="16" t="s">
        <v>6</v>
      </c>
      <c r="B11" s="16"/>
      <c r="C11" s="16"/>
      <c r="D11" s="16"/>
      <c r="E11" s="1"/>
      <c r="F11" s="1"/>
      <c r="G11" s="1"/>
      <c r="H11" s="1"/>
      <c r="I11" s="1"/>
    </row>
    <row r="12" spans="1:18">
      <c r="A12" s="17" t="s">
        <v>7</v>
      </c>
      <c r="B12" s="17"/>
      <c r="C12" s="17"/>
      <c r="D12" s="17"/>
      <c r="E12" s="3"/>
      <c r="F12" s="3"/>
      <c r="G12" s="3"/>
      <c r="H12" s="3"/>
      <c r="I12" s="3"/>
    </row>
    <row r="13" spans="1:18" ht="67.5" customHeight="1">
      <c r="A13" s="4"/>
      <c r="B13" s="4"/>
      <c r="C13" s="4"/>
      <c r="D13" s="4"/>
    </row>
    <row r="14" spans="1:18">
      <c r="A14" s="20" t="s">
        <v>8</v>
      </c>
      <c r="B14" s="20"/>
      <c r="C14" s="20" t="s">
        <v>39</v>
      </c>
      <c r="D14" s="20"/>
      <c r="E14" s="20"/>
      <c r="F14" s="20"/>
      <c r="G14" s="20"/>
      <c r="H14" s="6"/>
      <c r="I14" s="6"/>
    </row>
    <row r="15" spans="1:18">
      <c r="A15" s="14" t="s">
        <v>9</v>
      </c>
      <c r="B15" s="14"/>
      <c r="C15" s="19" t="s">
        <v>43</v>
      </c>
      <c r="D15" s="19"/>
      <c r="E15" s="19"/>
      <c r="F15" s="19"/>
      <c r="G15" s="19"/>
      <c r="H15" s="7"/>
      <c r="I15" s="7"/>
    </row>
    <row r="16" spans="1:18">
      <c r="A16" s="14" t="s">
        <v>49</v>
      </c>
      <c r="B16" s="14"/>
      <c r="C16" s="19" t="s">
        <v>12</v>
      </c>
      <c r="D16" s="19"/>
      <c r="E16" s="19"/>
      <c r="F16" s="19"/>
      <c r="G16" s="19"/>
      <c r="H16" s="7"/>
      <c r="I16" s="7"/>
    </row>
    <row r="17" spans="1:18">
      <c r="A17" s="14" t="s">
        <v>10</v>
      </c>
      <c r="B17" s="14"/>
      <c r="C17" s="19" t="s">
        <v>13</v>
      </c>
      <c r="D17" s="19"/>
      <c r="E17" s="19"/>
      <c r="F17" s="19"/>
      <c r="G17" s="19"/>
      <c r="H17" s="7"/>
      <c r="I17" s="7"/>
    </row>
    <row r="18" spans="1:18">
      <c r="A18" s="14" t="s">
        <v>11</v>
      </c>
      <c r="B18" s="14"/>
      <c r="C18" s="19" t="s">
        <v>38</v>
      </c>
      <c r="D18" s="19"/>
      <c r="E18" s="19"/>
      <c r="F18" s="19"/>
      <c r="G18" s="19"/>
      <c r="H18" s="7"/>
      <c r="I18" s="7"/>
    </row>
    <row r="19" spans="1:18" ht="22.8" customHeight="1"/>
    <row r="20" spans="1:18" ht="9.75" customHeight="1"/>
    <row r="21" spans="1:18">
      <c r="A21" s="21" t="s">
        <v>14</v>
      </c>
      <c r="B21" s="23"/>
      <c r="C21" s="21" t="s">
        <v>17</v>
      </c>
      <c r="D21" s="23"/>
      <c r="E21" s="21" t="s">
        <v>32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3"/>
    </row>
    <row r="22" spans="1:18" ht="16.5" customHeight="1">
      <c r="A22" s="25" t="s">
        <v>16</v>
      </c>
      <c r="B22" s="25" t="s">
        <v>15</v>
      </c>
      <c r="C22" s="26" t="s">
        <v>30</v>
      </c>
      <c r="D22" s="26" t="s">
        <v>31</v>
      </c>
      <c r="E22" s="26" t="s">
        <v>33</v>
      </c>
      <c r="F22" s="8" t="s">
        <v>35</v>
      </c>
      <c r="G22" s="9">
        <v>0</v>
      </c>
      <c r="H22" s="9">
        <f>H23/0.06</f>
        <v>100</v>
      </c>
      <c r="I22" s="11">
        <f t="shared" ref="I22:R22" si="0">I23/0.06</f>
        <v>150</v>
      </c>
      <c r="J22" s="11">
        <f t="shared" si="0"/>
        <v>200</v>
      </c>
      <c r="K22" s="11">
        <f t="shared" si="0"/>
        <v>300</v>
      </c>
      <c r="L22" s="11">
        <f t="shared" si="0"/>
        <v>400</v>
      </c>
      <c r="M22" s="11">
        <f t="shared" si="0"/>
        <v>500</v>
      </c>
      <c r="N22" s="11">
        <f t="shared" si="0"/>
        <v>600</v>
      </c>
      <c r="O22" s="11">
        <f t="shared" si="0"/>
        <v>700</v>
      </c>
      <c r="P22" s="11">
        <f t="shared" si="0"/>
        <v>800</v>
      </c>
      <c r="Q22" s="11">
        <f t="shared" si="0"/>
        <v>900</v>
      </c>
      <c r="R22" s="11">
        <f t="shared" si="0"/>
        <v>1000</v>
      </c>
    </row>
    <row r="23" spans="1:18" ht="16.5" customHeight="1">
      <c r="A23" s="25"/>
      <c r="B23" s="25"/>
      <c r="C23" s="26"/>
      <c r="D23" s="26"/>
      <c r="E23" s="26"/>
      <c r="F23" s="8" t="s">
        <v>34</v>
      </c>
      <c r="G23" s="9">
        <v>0</v>
      </c>
      <c r="H23" s="9">
        <v>6</v>
      </c>
      <c r="I23" s="9">
        <v>9</v>
      </c>
      <c r="J23" s="9">
        <v>12</v>
      </c>
      <c r="K23" s="9">
        <v>18</v>
      </c>
      <c r="L23" s="9">
        <v>24</v>
      </c>
      <c r="M23" s="10">
        <v>30</v>
      </c>
      <c r="N23" s="10">
        <v>36</v>
      </c>
      <c r="O23" s="10">
        <v>42</v>
      </c>
      <c r="P23" s="10">
        <v>48</v>
      </c>
      <c r="Q23" s="10">
        <v>54</v>
      </c>
      <c r="R23" s="10">
        <v>60</v>
      </c>
    </row>
    <row r="24" spans="1:18" ht="16.5" customHeight="1">
      <c r="A24" s="8" t="s">
        <v>47</v>
      </c>
      <c r="B24" s="8" t="s">
        <v>48</v>
      </c>
      <c r="C24" s="8">
        <v>0.15</v>
      </c>
      <c r="D24" s="8">
        <v>0.2</v>
      </c>
      <c r="E24" s="24" t="s">
        <v>36</v>
      </c>
      <c r="F24" s="24"/>
      <c r="G24" s="12">
        <v>6</v>
      </c>
      <c r="H24" s="12">
        <v>1.6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ht="16.5" customHeight="1">
      <c r="A25" s="12" t="s">
        <v>18</v>
      </c>
      <c r="B25" s="12" t="s">
        <v>19</v>
      </c>
      <c r="C25" s="12">
        <v>0.18</v>
      </c>
      <c r="D25" s="12">
        <v>0.25</v>
      </c>
      <c r="E25" s="24"/>
      <c r="F25" s="24"/>
      <c r="G25" s="12">
        <v>7</v>
      </c>
      <c r="H25" s="12">
        <v>3.9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ht="16.5" customHeight="1">
      <c r="A26" s="8" t="s">
        <v>25</v>
      </c>
      <c r="B26" s="8" t="s">
        <v>20</v>
      </c>
      <c r="C26" s="8">
        <v>0.25</v>
      </c>
      <c r="D26" s="8">
        <v>0.33</v>
      </c>
      <c r="E26" s="24"/>
      <c r="F26" s="24"/>
      <c r="G26" s="12">
        <v>8.5</v>
      </c>
      <c r="H26" s="12">
        <v>5.4</v>
      </c>
      <c r="I26" s="12">
        <v>1.6</v>
      </c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16.5" customHeight="1">
      <c r="A27" s="8" t="s">
        <v>45</v>
      </c>
      <c r="B27" s="8" t="s">
        <v>46</v>
      </c>
      <c r="C27" s="8">
        <v>0.45</v>
      </c>
      <c r="D27" s="8">
        <v>0.6</v>
      </c>
      <c r="E27" s="24"/>
      <c r="F27" s="24"/>
      <c r="G27" s="12">
        <v>12</v>
      </c>
      <c r="H27" s="12">
        <v>10.7</v>
      </c>
      <c r="I27" s="12">
        <v>9</v>
      </c>
      <c r="J27" s="12">
        <v>6.7</v>
      </c>
      <c r="K27" s="12">
        <v>0</v>
      </c>
      <c r="L27" s="12"/>
      <c r="M27" s="12"/>
      <c r="N27" s="12"/>
      <c r="O27" s="12"/>
      <c r="P27" s="12"/>
      <c r="Q27" s="12"/>
      <c r="R27" s="12"/>
    </row>
    <row r="28" spans="1:18" ht="16.5" customHeight="1">
      <c r="A28" s="8" t="s">
        <v>26</v>
      </c>
      <c r="B28" s="8" t="s">
        <v>21</v>
      </c>
      <c r="C28" s="8">
        <v>0.75</v>
      </c>
      <c r="D28" s="8">
        <v>1</v>
      </c>
      <c r="E28" s="24"/>
      <c r="F28" s="24"/>
      <c r="G28" s="12">
        <v>14</v>
      </c>
      <c r="H28" s="12">
        <v>13.1</v>
      </c>
      <c r="I28" s="12">
        <v>12</v>
      </c>
      <c r="J28" s="12">
        <v>10.5</v>
      </c>
      <c r="K28" s="12">
        <v>6.1</v>
      </c>
      <c r="L28" s="12">
        <v>0</v>
      </c>
      <c r="M28" s="12"/>
      <c r="N28" s="12"/>
      <c r="O28" s="12"/>
      <c r="P28" s="12"/>
      <c r="Q28" s="12"/>
      <c r="R28" s="12"/>
    </row>
    <row r="29" spans="1:18" ht="16.5" customHeight="1">
      <c r="A29" s="8" t="s">
        <v>27</v>
      </c>
      <c r="B29" s="8" t="s">
        <v>22</v>
      </c>
      <c r="C29" s="8">
        <v>1.1000000000000001</v>
      </c>
      <c r="D29" s="8">
        <v>1.5</v>
      </c>
      <c r="E29" s="24"/>
      <c r="F29" s="24"/>
      <c r="G29" s="12">
        <v>15</v>
      </c>
      <c r="H29" s="12">
        <v>14.4</v>
      </c>
      <c r="I29" s="12">
        <v>13.7</v>
      </c>
      <c r="J29" s="12">
        <v>12.6</v>
      </c>
      <c r="K29" s="12">
        <v>9.6</v>
      </c>
      <c r="L29" s="12">
        <v>5.4</v>
      </c>
      <c r="M29" s="12">
        <v>0</v>
      </c>
      <c r="N29" s="12"/>
      <c r="O29" s="12"/>
      <c r="P29" s="12"/>
      <c r="Q29" s="12"/>
      <c r="R29" s="12"/>
    </row>
    <row r="30" spans="1:18" ht="16.5" customHeight="1">
      <c r="A30" s="8" t="s">
        <v>28</v>
      </c>
      <c r="B30" s="8" t="s">
        <v>23</v>
      </c>
      <c r="C30" s="8">
        <v>1.5</v>
      </c>
      <c r="D30" s="8">
        <v>2</v>
      </c>
      <c r="E30" s="24"/>
      <c r="F30" s="24"/>
      <c r="G30" s="12">
        <v>16</v>
      </c>
      <c r="H30" s="12">
        <v>15.7</v>
      </c>
      <c r="I30" s="12">
        <v>15.3</v>
      </c>
      <c r="J30" s="12">
        <v>14.7</v>
      </c>
      <c r="K30" s="12">
        <v>13.1</v>
      </c>
      <c r="L30" s="12">
        <v>10.8</v>
      </c>
      <c r="M30" s="12">
        <v>7.8</v>
      </c>
      <c r="N30" s="12">
        <v>5.5</v>
      </c>
      <c r="O30" s="12">
        <v>0</v>
      </c>
      <c r="P30" s="12"/>
      <c r="Q30" s="12"/>
      <c r="R30" s="12"/>
    </row>
    <row r="31" spans="1:18" ht="16.5" customHeight="1">
      <c r="A31" s="8" t="s">
        <v>29</v>
      </c>
      <c r="B31" s="8" t="s">
        <v>24</v>
      </c>
      <c r="C31" s="8">
        <v>2.2000000000000002</v>
      </c>
      <c r="D31" s="8">
        <v>3</v>
      </c>
      <c r="E31" s="24"/>
      <c r="F31" s="24"/>
      <c r="G31" s="12">
        <v>19</v>
      </c>
      <c r="H31" s="12">
        <v>18.8</v>
      </c>
      <c r="I31" s="12">
        <v>18.5</v>
      </c>
      <c r="J31" s="12">
        <v>18.100000000000001</v>
      </c>
      <c r="K31" s="12">
        <v>16.899999999999999</v>
      </c>
      <c r="L31" s="12">
        <v>15.2</v>
      </c>
      <c r="M31" s="12">
        <v>13.1</v>
      </c>
      <c r="N31" s="12">
        <v>11.5</v>
      </c>
      <c r="O31" s="12">
        <v>7.5</v>
      </c>
      <c r="P31" s="12">
        <v>4</v>
      </c>
      <c r="Q31" s="12">
        <v>0</v>
      </c>
      <c r="R31" s="12"/>
    </row>
    <row r="32" spans="1:18" ht="16.5" customHeight="1">
      <c r="A32" s="8" t="inlineStr">
        <is>
          <t>-</t>
        </is>
      </c>
      <c r="B32" s="8" t="s">
        <v>37</v>
      </c>
      <c r="C32" s="8">
        <v>3</v>
      </c>
      <c r="D32" s="8">
        <v>4</v>
      </c>
      <c r="E32" s="24"/>
      <c r="F32" s="24"/>
      <c r="G32" s="12">
        <v>22</v>
      </c>
      <c r="H32" s="12">
        <v>21.8</v>
      </c>
      <c r="I32" s="12">
        <v>21.5</v>
      </c>
      <c r="J32" s="12">
        <v>21.1</v>
      </c>
      <c r="K32" s="12">
        <v>20</v>
      </c>
      <c r="L32" s="12">
        <v>18.5</v>
      </c>
      <c r="M32" s="12">
        <v>16.5</v>
      </c>
      <c r="N32" s="12">
        <v>14.9</v>
      </c>
      <c r="O32" s="12">
        <v>11.2</v>
      </c>
      <c r="P32" s="12">
        <v>7.9</v>
      </c>
      <c r="Q32" s="12">
        <v>4.2</v>
      </c>
      <c r="R32" s="12">
        <v>0</v>
      </c>
    </row>
  </sheetData>
  <mergeCells count="31">
    <mergeCell ref="E21:R21"/>
    <mergeCell ref="E24:F32"/>
    <mergeCell ref="A21:B21"/>
    <mergeCell ref="C21:D21"/>
    <mergeCell ref="A22:A23"/>
    <mergeCell ref="B22:B23"/>
    <mergeCell ref="C22:C23"/>
    <mergeCell ref="D22:D23"/>
    <mergeCell ref="E22:E23"/>
    <mergeCell ref="A18:B18"/>
    <mergeCell ref="C18:G18"/>
    <mergeCell ref="C16:G16"/>
    <mergeCell ref="C17:G17"/>
    <mergeCell ref="C14:G14"/>
    <mergeCell ref="A14:B14"/>
    <mergeCell ref="A1:R1"/>
    <mergeCell ref="A15:B15"/>
    <mergeCell ref="A16:B16"/>
    <mergeCell ref="A17:B17"/>
    <mergeCell ref="A10:D10"/>
    <mergeCell ref="A11:D11"/>
    <mergeCell ref="A12:D12"/>
    <mergeCell ref="A3:D3"/>
    <mergeCell ref="A4:D4"/>
    <mergeCell ref="A5:D5"/>
    <mergeCell ref="A6:D6"/>
    <mergeCell ref="A2:D2"/>
    <mergeCell ref="A7:D7"/>
    <mergeCell ref="A8:D8"/>
    <mergeCell ref="A9:D9"/>
    <mergeCell ref="C15:G15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2026-09-22T05:03:13Z</dcterms:modified>
</cp:coreProperties>
</file>