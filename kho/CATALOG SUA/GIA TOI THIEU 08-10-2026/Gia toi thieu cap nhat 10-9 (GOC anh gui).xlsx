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2\Desktop\"/>
    </mc:Choice>
  </mc:AlternateContent>
  <bookViews>
    <workbookView xWindow="0" yWindow="0" windowWidth="16380" windowHeight="8190" tabRatio="764" activeTab="2"/>
  </bookViews>
  <sheets>
    <sheet name="Giếng nhựa" sheetId="1" r:id="rId1"/>
    <sheet name="Giếng inox" sheetId="2" r:id="rId2"/>
    <sheet name="thải Perotac" sheetId="3" r:id="rId3"/>
    <sheet name="thải Inox" sheetId="4" r:id="rId4"/>
    <sheet name="Con sò" sheetId="5" r:id="rId5"/>
    <sheet name="trục đứng" sheetId="6" r:id="rId6"/>
    <sheet name="Trục đứng Inline" sheetId="7" r:id="rId7"/>
    <sheet name="Trục ngang" sheetId="8" r:id="rId8"/>
    <sheet name="Trục ngang inox" sheetId="9" r:id="rId9"/>
    <sheet name="DWO CDX" sheetId="10" r:id="rId10"/>
    <sheet name="KTZ" sheetId="11" r:id="rId11"/>
    <sheet name="Khuấy" sheetId="12" r:id="rId12"/>
    <sheet name="Định lượng" sheetId="13" r:id="rId13"/>
    <sheet name="ROOT" sheetId="14" r:id="rId14"/>
    <sheet name="Phụ kiện" sheetId="15" r:id="rId15"/>
  </sheet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7" i="11" l="1"/>
  <c r="I16" i="11"/>
  <c r="I15" i="11"/>
  <c r="I14" i="11"/>
  <c r="I13" i="11"/>
  <c r="I12" i="11"/>
  <c r="I11" i="11"/>
  <c r="I10" i="11"/>
  <c r="I9" i="11"/>
  <c r="I8" i="11"/>
  <c r="I7" i="11"/>
  <c r="I6" i="11"/>
  <c r="I5" i="11"/>
  <c r="I4" i="11"/>
  <c r="I3" i="11"/>
  <c r="I2" i="11"/>
  <c r="I21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I6" i="10"/>
  <c r="I5" i="10"/>
  <c r="I4" i="10"/>
  <c r="I3" i="10"/>
  <c r="I2" i="10"/>
  <c r="I63" i="7"/>
  <c r="H63" i="7"/>
  <c r="G63" i="7"/>
  <c r="I62" i="7"/>
  <c r="H62" i="7"/>
  <c r="G62" i="7"/>
  <c r="I61" i="7"/>
  <c r="H61" i="7"/>
  <c r="G61" i="7"/>
  <c r="I60" i="7"/>
  <c r="H60" i="7"/>
  <c r="G60" i="7"/>
  <c r="I59" i="7"/>
  <c r="H59" i="7"/>
  <c r="G59" i="7"/>
  <c r="I58" i="7"/>
  <c r="H58" i="7"/>
  <c r="G58" i="7"/>
  <c r="K57" i="7"/>
  <c r="I57" i="7" s="1"/>
  <c r="I56" i="7"/>
  <c r="H56" i="7"/>
  <c r="G56" i="7"/>
  <c r="I55" i="7"/>
  <c r="H55" i="7"/>
  <c r="G55" i="7"/>
  <c r="I54" i="7"/>
  <c r="H54" i="7"/>
  <c r="G54" i="7"/>
  <c r="I53" i="7"/>
  <c r="H53" i="7"/>
  <c r="G53" i="7"/>
  <c r="I52" i="7"/>
  <c r="H52" i="7"/>
  <c r="G52" i="7"/>
  <c r="I51" i="7"/>
  <c r="H51" i="7"/>
  <c r="G51" i="7"/>
  <c r="I50" i="7"/>
  <c r="H50" i="7"/>
  <c r="G50" i="7"/>
  <c r="I49" i="7"/>
  <c r="H49" i="7"/>
  <c r="G49" i="7"/>
  <c r="I48" i="7"/>
  <c r="H48" i="7"/>
  <c r="G48" i="7"/>
  <c r="I47" i="7"/>
  <c r="H47" i="7"/>
  <c r="G47" i="7"/>
  <c r="I46" i="7"/>
  <c r="H46" i="7"/>
  <c r="G46" i="7"/>
  <c r="I45" i="7"/>
  <c r="H45" i="7"/>
  <c r="G45" i="7"/>
  <c r="L44" i="7"/>
  <c r="I44" i="7"/>
  <c r="H44" i="7"/>
  <c r="G44" i="7"/>
  <c r="I43" i="7"/>
  <c r="H43" i="7"/>
  <c r="G43" i="7"/>
  <c r="I42" i="7"/>
  <c r="H42" i="7"/>
  <c r="G42" i="7"/>
  <c r="I41" i="7"/>
  <c r="H41" i="7"/>
  <c r="G41" i="7"/>
  <c r="I40" i="7"/>
  <c r="H40" i="7"/>
  <c r="G40" i="7"/>
  <c r="J39" i="7"/>
  <c r="H39" i="7" s="1"/>
  <c r="I39" i="7"/>
  <c r="I38" i="7"/>
  <c r="H38" i="7"/>
  <c r="G38" i="7"/>
  <c r="L37" i="7"/>
  <c r="I37" i="7"/>
  <c r="H37" i="7"/>
  <c r="G37" i="7"/>
  <c r="I36" i="7"/>
  <c r="H36" i="7"/>
  <c r="G36" i="7"/>
  <c r="I35" i="7"/>
  <c r="H35" i="7"/>
  <c r="G35" i="7"/>
  <c r="I34" i="7"/>
  <c r="H34" i="7"/>
  <c r="G34" i="7"/>
  <c r="I33" i="7"/>
  <c r="H33" i="7"/>
  <c r="G33" i="7"/>
  <c r="L32" i="7"/>
  <c r="I32" i="7"/>
  <c r="H32" i="7"/>
  <c r="G32" i="7"/>
  <c r="I31" i="7"/>
  <c r="H31" i="7"/>
  <c r="G31" i="7"/>
  <c r="I30" i="7"/>
  <c r="H30" i="7"/>
  <c r="G30" i="7"/>
  <c r="I29" i="7"/>
  <c r="H29" i="7"/>
  <c r="G29" i="7"/>
  <c r="L28" i="7"/>
  <c r="I28" i="7"/>
  <c r="H28" i="7"/>
  <c r="G28" i="7"/>
  <c r="I27" i="7"/>
  <c r="H27" i="7"/>
  <c r="G27" i="7"/>
  <c r="I26" i="7"/>
  <c r="H26" i="7"/>
  <c r="G26" i="7"/>
  <c r="I25" i="7"/>
  <c r="H25" i="7"/>
  <c r="G25" i="7"/>
  <c r="I24" i="7"/>
  <c r="H24" i="7"/>
  <c r="G24" i="7"/>
  <c r="I23" i="7"/>
  <c r="H23" i="7"/>
  <c r="G23" i="7"/>
  <c r="I22" i="7"/>
  <c r="H22" i="7"/>
  <c r="G22" i="7"/>
  <c r="L21" i="7"/>
  <c r="I21" i="7"/>
  <c r="H21" i="7"/>
  <c r="G21" i="7"/>
  <c r="I20" i="7"/>
  <c r="H20" i="7"/>
  <c r="G20" i="7"/>
  <c r="I19" i="7"/>
  <c r="H19" i="7"/>
  <c r="G19" i="7"/>
  <c r="I18" i="7"/>
  <c r="H18" i="7"/>
  <c r="G18" i="7"/>
  <c r="L17" i="7"/>
  <c r="I17" i="7"/>
  <c r="H17" i="7"/>
  <c r="G17" i="7"/>
  <c r="I16" i="7"/>
  <c r="H16" i="7"/>
  <c r="G16" i="7"/>
  <c r="I15" i="7"/>
  <c r="H15" i="7"/>
  <c r="G15" i="7"/>
  <c r="I14" i="7"/>
  <c r="H14" i="7"/>
  <c r="G14" i="7"/>
  <c r="I13" i="7"/>
  <c r="H13" i="7"/>
  <c r="G13" i="7"/>
  <c r="L12" i="7"/>
  <c r="I12" i="7"/>
  <c r="H12" i="7"/>
  <c r="G12" i="7"/>
  <c r="I11" i="7"/>
  <c r="H11" i="7"/>
  <c r="G11" i="7"/>
  <c r="I10" i="7"/>
  <c r="H10" i="7"/>
  <c r="G10" i="7"/>
  <c r="I9" i="7"/>
  <c r="H9" i="7"/>
  <c r="G9" i="7"/>
  <c r="L8" i="7"/>
  <c r="I8" i="7"/>
  <c r="H8" i="7"/>
  <c r="G8" i="7"/>
  <c r="I7" i="7"/>
  <c r="H7" i="7"/>
  <c r="G7" i="7"/>
  <c r="I6" i="7"/>
  <c r="H6" i="7"/>
  <c r="G6" i="7"/>
  <c r="I5" i="7"/>
  <c r="H5" i="7"/>
  <c r="G5" i="7"/>
  <c r="I4" i="7"/>
  <c r="H4" i="7"/>
  <c r="G4" i="7"/>
  <c r="I3" i="7"/>
  <c r="H3" i="7"/>
  <c r="G3" i="7"/>
  <c r="I2" i="7"/>
  <c r="H2" i="7"/>
  <c r="G2" i="7"/>
  <c r="H18" i="4"/>
  <c r="G18" i="4"/>
  <c r="F18" i="4"/>
  <c r="H17" i="4"/>
  <c r="G17" i="4"/>
  <c r="F17" i="4"/>
  <c r="H16" i="4"/>
  <c r="G16" i="4"/>
  <c r="F16" i="4"/>
  <c r="H15" i="4"/>
  <c r="G15" i="4"/>
  <c r="F15" i="4"/>
  <c r="H14" i="4"/>
  <c r="G14" i="4"/>
  <c r="F14" i="4"/>
  <c r="H13" i="4"/>
  <c r="G13" i="4"/>
  <c r="F13" i="4"/>
  <c r="H12" i="4"/>
  <c r="G12" i="4"/>
  <c r="F12" i="4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G57" i="7" l="1"/>
  <c r="H57" i="7"/>
  <c r="G39" i="7"/>
</calcChain>
</file>

<file path=xl/sharedStrings.xml><?xml version="1.0" encoding="utf-8"?>
<sst xmlns="http://schemas.openxmlformats.org/spreadsheetml/2006/main" count="1262" uniqueCount="833">
  <si>
    <t>STT</t>
  </si>
  <si>
    <t>MODEL</t>
  </si>
  <si>
    <t>CÔNG SUẤT (KW)</t>
  </si>
  <si>
    <t>Họng xả (inch)</t>
  </si>
  <si>
    <t>Lưu lượng</t>
  </si>
  <si>
    <t>Cột áp</t>
  </si>
  <si>
    <t>REDPUMP</t>
  </si>
  <si>
    <t>PEROTAC</t>
  </si>
  <si>
    <t>AQUARIS</t>
  </si>
  <si>
    <t>Giá nhập động lực</t>
  </si>
  <si>
    <t>Giá Buồng</t>
  </si>
  <si>
    <t>Giá động cơ</t>
  </si>
  <si>
    <t>Giá Sumoto</t>
  </si>
  <si>
    <t>Nhóm</t>
  </si>
  <si>
    <t>REDPUMP cũ (trước tăng)</t>
  </si>
  <si>
    <t>PEROTAC cũ (trước tăng)</t>
  </si>
  <si>
    <t>2SSm0.7/32-0.25</t>
  </si>
  <si>
    <t>21</t>
  </si>
  <si>
    <t>BƠM 2 ICNH CÁNH NHỰA</t>
  </si>
  <si>
    <t>2SSm0.7/38-0.37</t>
  </si>
  <si>
    <t>2.5SSm1.5/17-0.37</t>
  </si>
  <si>
    <t>BƠM 25 INCH CÁNH NHỰA</t>
  </si>
  <si>
    <t>2.5SSm1.5/24-0.55</t>
  </si>
  <si>
    <t>2.5SSm1.5/31-0.75</t>
  </si>
  <si>
    <t>3SSm3/16-0.55</t>
  </si>
  <si>
    <t>BƠM 3 INCH CÁNH NHỰA</t>
  </si>
  <si>
    <t>3SSm4/16-0.75</t>
  </si>
  <si>
    <t>3SSm3/21-0.75</t>
  </si>
  <si>
    <t>3SSm4/24-1.1</t>
  </si>
  <si>
    <t>3SSm3/31-1.1</t>
  </si>
  <si>
    <t>3SSm4/28-1.5</t>
  </si>
  <si>
    <t>4SA4/10</t>
  </si>
  <si>
    <t>4SA4/12</t>
  </si>
  <si>
    <t>4SA4/14</t>
  </si>
  <si>
    <t>4SA4/18</t>
  </si>
  <si>
    <t>4SA4/24</t>
  </si>
  <si>
    <t>4SA4/32</t>
  </si>
  <si>
    <t>4SA4/40</t>
  </si>
  <si>
    <t>4SA4/50</t>
  </si>
  <si>
    <t>4SA6/11</t>
  </si>
  <si>
    <t>4SA6/15</t>
  </si>
  <si>
    <t>4SA6/20</t>
  </si>
  <si>
    <t>4SA6/26</t>
  </si>
  <si>
    <t>4SA6/34</t>
  </si>
  <si>
    <t>4SA6/42</t>
  </si>
  <si>
    <t>4SA6/52</t>
  </si>
  <si>
    <t>4SA8/12</t>
  </si>
  <si>
    <t>4SA8/17</t>
  </si>
  <si>
    <t>4SA8/23</t>
  </si>
  <si>
    <t>4SA8/29</t>
  </si>
  <si>
    <t>4SA8/37</t>
  </si>
  <si>
    <t>4SA8/45</t>
  </si>
  <si>
    <t>4SA10/9</t>
  </si>
  <si>
    <t>4SA10/13</t>
  </si>
  <si>
    <t>4SA10/17</t>
  </si>
  <si>
    <t>4SA10/21</t>
  </si>
  <si>
    <t>4SA10/27</t>
  </si>
  <si>
    <t>4SA10/34</t>
  </si>
  <si>
    <t>4SA12/12</t>
  </si>
  <si>
    <t>4SA12/16</t>
  </si>
  <si>
    <t>4SA12/20</t>
  </si>
  <si>
    <t>4SA12/26</t>
  </si>
  <si>
    <t>4SA12/32</t>
  </si>
  <si>
    <t>4SA16/12</t>
  </si>
  <si>
    <t>4SA16/16</t>
  </si>
  <si>
    <t>4SA16/20</t>
  </si>
  <si>
    <t>4SA16/25</t>
  </si>
  <si>
    <t>6SA35/4</t>
  </si>
  <si>
    <t>6SA35/6</t>
  </si>
  <si>
    <t>6SA35/7</t>
  </si>
  <si>
    <t>6SA35/8</t>
  </si>
  <si>
    <t>6SA35/12</t>
  </si>
  <si>
    <t>6SA35/14</t>
  </si>
  <si>
    <t>6SA35/16</t>
  </si>
  <si>
    <t>6SA35/18</t>
  </si>
  <si>
    <t>6SA35/20</t>
  </si>
  <si>
    <t>6SA45/2</t>
  </si>
  <si>
    <t>6SA45/3</t>
  </si>
  <si>
    <t>6SA45/4</t>
  </si>
  <si>
    <t>6SA45/5</t>
  </si>
  <si>
    <t>6SA45/6</t>
  </si>
  <si>
    <t>6SA45/8</t>
  </si>
  <si>
    <t>6SA45/11</t>
  </si>
  <si>
    <t>6SA45/9</t>
  </si>
  <si>
    <t>6SA45/13</t>
  </si>
  <si>
    <t>6SA45/15</t>
  </si>
  <si>
    <t>Tủ điện điện tử S-22 220v</t>
  </si>
  <si>
    <t>0,37-2,2</t>
  </si>
  <si>
    <t>Tủ điện</t>
  </si>
  <si>
    <t>Tủ điện điên từ T-40 380v</t>
  </si>
  <si>
    <t>0,75-4,0</t>
  </si>
  <si>
    <t>Tủ điện điên từ T-75 380v</t>
  </si>
  <si>
    <t>5,5-7,5</t>
  </si>
  <si>
    <t>Tủ điện điên từ T-15 380v</t>
  </si>
  <si>
    <t>11-15</t>
  </si>
  <si>
    <t>SLM220-220V</t>
  </si>
  <si>
    <t>0.75KW -2.2KW</t>
  </si>
  <si>
    <t>SL380-380V</t>
  </si>
  <si>
    <t>0.75KW- 4.0KW</t>
  </si>
  <si>
    <t>SL750-380V</t>
  </si>
  <si>
    <t>5.5KW - 7.5KW</t>
  </si>
  <si>
    <t>SL1500-380V</t>
  </si>
  <si>
    <t>11KW - 15KW</t>
  </si>
  <si>
    <t>Họng xả</t>
  </si>
  <si>
    <t>Lưu lượng (m3/h)</t>
  </si>
  <si>
    <t>Cột áp (m)</t>
  </si>
  <si>
    <t>Giá Buồng (Tý)</t>
  </si>
  <si>
    <t>Giá động cơ (Động lực)</t>
  </si>
  <si>
    <t>4SP5-08</t>
  </si>
  <si>
    <t>4SP5-12</t>
  </si>
  <si>
    <t>4SP8-10</t>
  </si>
  <si>
    <t>4SP14-07</t>
  </si>
  <si>
    <t>4SP8-12</t>
  </si>
  <si>
    <t>4SP8-14</t>
  </si>
  <si>
    <t>4SP14-10</t>
  </si>
  <si>
    <t>4SP8-18</t>
  </si>
  <si>
    <t>4SP14-13</t>
  </si>
  <si>
    <t>4SP5-44</t>
  </si>
  <si>
    <t>4SP8-21</t>
  </si>
  <si>
    <t>4SP8-24</t>
  </si>
  <si>
    <t>4SP14-18</t>
  </si>
  <si>
    <t>4SP5-52</t>
  </si>
  <si>
    <t>4SP14-25</t>
  </si>
  <si>
    <t>5SP30-06</t>
  </si>
  <si>
    <t>15 - 40</t>
  </si>
  <si>
    <t>60 - 18</t>
  </si>
  <si>
    <t>BƠM 5 INCH CÁNH INOX</t>
  </si>
  <si>
    <t>5SP30-08</t>
  </si>
  <si>
    <t>80 - 24</t>
  </si>
  <si>
    <t>6SP30-5</t>
  </si>
  <si>
    <t>6SP30-7</t>
  </si>
  <si>
    <t>6SP46-05</t>
  </si>
  <si>
    <t>6SP60-04</t>
  </si>
  <si>
    <t>6SP30-9</t>
  </si>
  <si>
    <t>6SP46-06</t>
  </si>
  <si>
    <t>6SP60-05</t>
  </si>
  <si>
    <t>6SP30-12</t>
  </si>
  <si>
    <t>6SP46-07</t>
  </si>
  <si>
    <t>6SP60-06</t>
  </si>
  <si>
    <t>6SP30-16</t>
  </si>
  <si>
    <t>6SP46-10</t>
  </si>
  <si>
    <t>6SP60-08</t>
  </si>
  <si>
    <t>6SP30-19</t>
  </si>
  <si>
    <t>6SP46-12</t>
  </si>
  <si>
    <t>6SP60-10</t>
  </si>
  <si>
    <t>6SP20-32</t>
  </si>
  <si>
    <t>6SP30-23</t>
  </si>
  <si>
    <t>6SP46-14</t>
  </si>
  <si>
    <t>6SP60-12</t>
  </si>
  <si>
    <t>6SP46-18</t>
  </si>
  <si>
    <t>6SP60-16</t>
  </si>
  <si>
    <t>8SP77-04</t>
  </si>
  <si>
    <t>BƠM 8 INCH CÁNH INOX</t>
  </si>
  <si>
    <t>8SP120-03</t>
  </si>
  <si>
    <t>8SP77-05</t>
  </si>
  <si>
    <t>8SP95-04</t>
  </si>
  <si>
    <t>8SP120-04</t>
  </si>
  <si>
    <t>8SP77-06</t>
  </si>
  <si>
    <t>8SP95-05</t>
  </si>
  <si>
    <t>8SP120-05</t>
  </si>
  <si>
    <t>8SP77-08</t>
  </si>
  <si>
    <t>8SP120-06</t>
  </si>
  <si>
    <t>8SP77-10</t>
  </si>
  <si>
    <t>8SP95-08</t>
  </si>
  <si>
    <t>8SP120-07</t>
  </si>
  <si>
    <t>8SP77-12</t>
  </si>
  <si>
    <t>8SP95-10</t>
  </si>
  <si>
    <t>8SP120-08</t>
  </si>
  <si>
    <t>8SP120-09</t>
  </si>
  <si>
    <t>8SP77-15</t>
  </si>
  <si>
    <t>8SP95-11</t>
  </si>
  <si>
    <t>8SP95-12</t>
  </si>
  <si>
    <t>8SP120-10</t>
  </si>
  <si>
    <t>8SP77-17</t>
  </si>
  <si>
    <t>8SP95-14</t>
  </si>
  <si>
    <t>8SP77-20</t>
  </si>
  <si>
    <t>8SP95-16</t>
  </si>
  <si>
    <t>8SP95-20</t>
  </si>
  <si>
    <t>10SP125-03</t>
  </si>
  <si>
    <t>10SP125-04</t>
  </si>
  <si>
    <t>10SP160-03</t>
  </si>
  <si>
    <t>10SP125-05</t>
  </si>
  <si>
    <t>10SP160-04</t>
  </si>
  <si>
    <t>10SP125-06</t>
  </si>
  <si>
    <t>10SP160-05</t>
  </si>
  <si>
    <t>10SP125-07</t>
  </si>
  <si>
    <t>10SP160-06</t>
  </si>
  <si>
    <t>10SP125-08</t>
  </si>
  <si>
    <t>10SP125-09</t>
  </si>
  <si>
    <t>10SP160-07</t>
  </si>
  <si>
    <t>10SP160-08</t>
  </si>
  <si>
    <t>10SP160-09</t>
  </si>
  <si>
    <t>Họng xả (DN)</t>
  </si>
  <si>
    <t>Lưu lượng max (m3/h)</t>
  </si>
  <si>
    <t>Cột áp max (m)</t>
  </si>
  <si>
    <t>Giá nhập TK</t>
  </si>
  <si>
    <t>Giá nhập ĐL</t>
  </si>
  <si>
    <t>Giá nhập SW</t>
  </si>
  <si>
    <t>SSM-150F (1 pha)</t>
  </si>
  <si>
    <t>Bơm SSm nửa gang nửa inox</t>
  </si>
  <si>
    <t>SSM-180F (1 pha)</t>
  </si>
  <si>
    <t>SSM-250F (1 pha)</t>
  </si>
  <si>
    <t>SSM-370 (1 pha)</t>
  </si>
  <si>
    <t>SSM-450F (1 pha)</t>
  </si>
  <si>
    <t>SSM-750F (1 pha)</t>
  </si>
  <si>
    <t>SSM-1100F (1 pha)</t>
  </si>
  <si>
    <t>SSM-1500F (1 pha)</t>
  </si>
  <si>
    <t>SSM-2200F (1 pha)</t>
  </si>
  <si>
    <t>SSM-3000F (1 pha)</t>
  </si>
  <si>
    <t>SS-150</t>
  </si>
  <si>
    <t>SS-180</t>
  </si>
  <si>
    <t>SS-250</t>
  </si>
  <si>
    <t>SS-370</t>
  </si>
  <si>
    <t>SS-450</t>
  </si>
  <si>
    <t>SS-750</t>
  </si>
  <si>
    <t>SS-1100</t>
  </si>
  <si>
    <t>SS-1500</t>
  </si>
  <si>
    <t>SS-2200</t>
  </si>
  <si>
    <t xml:space="preserve">SS-3000 </t>
  </si>
  <si>
    <t>SFM6-15-0.37F-220V</t>
  </si>
  <si>
    <t>SFM6-18-0.55F-220V</t>
  </si>
  <si>
    <t>SFM6-22-0.75F-220V</t>
  </si>
  <si>
    <t>SFM6-25-1.1F-220V</t>
  </si>
  <si>
    <t>SFM10-28-1.5F-220v</t>
  </si>
  <si>
    <t>SFM15-32-2.2F - 220V</t>
  </si>
  <si>
    <t>SF15-40-3.0-380V</t>
  </si>
  <si>
    <t>SF20-40-4.0-380V</t>
  </si>
  <si>
    <t>SF27-50-5.5-380V</t>
  </si>
  <si>
    <t>SF27-55-7.5-380V</t>
  </si>
  <si>
    <t>50WC10-10-0.75</t>
  </si>
  <si>
    <t>Bơm cắt rác WC</t>
  </si>
  <si>
    <t>50WC12-10-1.1</t>
  </si>
  <si>
    <t>50WC15-15-1.5 (1 pha)</t>
  </si>
  <si>
    <t>50WC15-15-1.5</t>
  </si>
  <si>
    <t>50WC9-22-2.2 (1 pha)</t>
  </si>
  <si>
    <t>50WC9-22-2.2</t>
  </si>
  <si>
    <t>50WC15-25-3</t>
  </si>
  <si>
    <t>50WC20-25-4</t>
  </si>
  <si>
    <t>50WC25-28-5.5</t>
  </si>
  <si>
    <t>50WC15-40-7.5</t>
  </si>
  <si>
    <t>65WC25-10-1.5 (1 pha)</t>
  </si>
  <si>
    <t>65WC25-10-1.5</t>
  </si>
  <si>
    <t>65WC25-15-2.2 (1 pha)</t>
  </si>
  <si>
    <t>65WC25-15-2.2</t>
  </si>
  <si>
    <t>65WC35-15-3</t>
  </si>
  <si>
    <t>65WC35-20-4</t>
  </si>
  <si>
    <t>65WC25-35-5.5</t>
  </si>
  <si>
    <t>80WC45-9-2.2 (1 pha)</t>
  </si>
  <si>
    <t>80WC45-9-2.2</t>
  </si>
  <si>
    <t>80WC45-12-3</t>
  </si>
  <si>
    <t>80WC50-15-4</t>
  </si>
  <si>
    <t>80WC45-20-5.5</t>
  </si>
  <si>
    <t>80WC45-25-7.5</t>
  </si>
  <si>
    <t>80WC45-30-9.5</t>
  </si>
  <si>
    <t>100WC65-12-4</t>
  </si>
  <si>
    <t>100WC70-15-5.5</t>
  </si>
  <si>
    <t>100WC100-15-7.5</t>
  </si>
  <si>
    <t>100WC120-15-9.5</t>
  </si>
  <si>
    <t>100WC100-20-11</t>
  </si>
  <si>
    <t>100WC100-30-15</t>
  </si>
  <si>
    <t>100WC100-40-18.5</t>
  </si>
  <si>
    <t>100WC100-50-22</t>
  </si>
  <si>
    <t>150WC100-10-5.5</t>
  </si>
  <si>
    <t>150WC120-10-7.5</t>
  </si>
  <si>
    <t>150WC150-10-9.5</t>
  </si>
  <si>
    <t>150WC150-15-11</t>
  </si>
  <si>
    <t>150WC150-25-15</t>
  </si>
  <si>
    <t>150WC200-20-18.5</t>
  </si>
  <si>
    <t>150WC200-25-22</t>
  </si>
  <si>
    <t xml:space="preserve">200WC200-20-22 </t>
  </si>
  <si>
    <t>200WC250-22-30  Tốc 1450</t>
  </si>
  <si>
    <t>250WC600-9-30  Tốc 1450</t>
  </si>
  <si>
    <t>250WC600-12-37 Tốc 1450</t>
  </si>
  <si>
    <t>250WC600-15-45  Tốc 1450</t>
  </si>
  <si>
    <t>300WC800-12-45  Tốc 1450</t>
  </si>
  <si>
    <t>300WC800-15-55  Tốc 1450</t>
  </si>
  <si>
    <t>Giá áng chừng</t>
  </si>
  <si>
    <t>300WC800-20-75  Tốc 1450</t>
  </si>
  <si>
    <t>300WC950-20-95  Tốc 1450</t>
  </si>
  <si>
    <t>300WC1200-20-110  Tốc 1450</t>
  </si>
  <si>
    <t>Giá nhập</t>
  </si>
  <si>
    <t>FS75/40M</t>
  </si>
  <si>
    <t>Bơm inox FS</t>
  </si>
  <si>
    <t>FS100/40M</t>
  </si>
  <si>
    <t>FS150/40M</t>
  </si>
  <si>
    <t>FS200/50M</t>
  </si>
  <si>
    <t>FS300/50M</t>
  </si>
  <si>
    <t>FS75/40T</t>
  </si>
  <si>
    <t>FS100/40T</t>
  </si>
  <si>
    <t>FS150/40T</t>
  </si>
  <si>
    <t>FS200/50T</t>
  </si>
  <si>
    <t>FS300/80T</t>
  </si>
  <si>
    <t>FS-35-7-2.2</t>
  </si>
  <si>
    <t>FS-50-7-3.0</t>
  </si>
  <si>
    <t>FS-50-10-4.0</t>
  </si>
  <si>
    <t>FS-100-7-5.5</t>
  </si>
  <si>
    <t>FS-100-10-7.5</t>
  </si>
  <si>
    <t>FS-150-15-11</t>
  </si>
  <si>
    <t>FS-150-20-15</t>
  </si>
  <si>
    <t>CÔNG SUẤT (kW)</t>
  </si>
  <si>
    <t>Cột áp (KPa)</t>
  </si>
  <si>
    <t>Giá nhập Tý</t>
  </si>
  <si>
    <t>GB 90</t>
  </si>
  <si>
    <t>(Trống)</t>
  </si>
  <si>
    <t>Con sò 1 tầng cánh</t>
  </si>
  <si>
    <t>GB 200</t>
  </si>
  <si>
    <t>GB-250</t>
  </si>
  <si>
    <t>GB-370</t>
  </si>
  <si>
    <t>GB-550</t>
  </si>
  <si>
    <t>GB750</t>
  </si>
  <si>
    <t>GB-1100</t>
  </si>
  <si>
    <t>GB-1500</t>
  </si>
  <si>
    <t>GB-2200</t>
  </si>
  <si>
    <t>GB-750S</t>
  </si>
  <si>
    <t>GB-1100S</t>
  </si>
  <si>
    <t>GB-1500S</t>
  </si>
  <si>
    <t>GB-2200S</t>
  </si>
  <si>
    <t>GB-3000S</t>
  </si>
  <si>
    <t>GB-4000S</t>
  </si>
  <si>
    <t>GB-5500S</t>
  </si>
  <si>
    <t>GB-7500S</t>
  </si>
  <si>
    <t>GB-9500S</t>
  </si>
  <si>
    <t>GB-11000S</t>
  </si>
  <si>
    <t>GB-15000S</t>
  </si>
  <si>
    <t>GB-550/2</t>
  </si>
  <si>
    <t>Con sò 2 tầng cánh</t>
  </si>
  <si>
    <t>GB-750/2</t>
  </si>
  <si>
    <t>GB-1100/2</t>
  </si>
  <si>
    <t>GB-1500/2</t>
  </si>
  <si>
    <t>GB-550S/2</t>
  </si>
  <si>
    <t>GB-750S/2</t>
  </si>
  <si>
    <t>GB-1100S/2</t>
  </si>
  <si>
    <t>GB-1500S/2</t>
  </si>
  <si>
    <t>GB-2200S/2</t>
  </si>
  <si>
    <t>GB-3000S/2</t>
  </si>
  <si>
    <t>GB-4000S/2</t>
  </si>
  <si>
    <t>GB-5500S/2</t>
  </si>
  <si>
    <t>Công suất (kW)</t>
  </si>
  <si>
    <t>Họng hút/xả (mm)</t>
  </si>
  <si>
    <t>CDLF2-7</t>
  </si>
  <si>
    <t>DN25</t>
  </si>
  <si>
    <t>1 - 3.5</t>
  </si>
  <si>
    <t>28 - 63</t>
  </si>
  <si>
    <t>CDLF2-9</t>
  </si>
  <si>
    <t>37 - 80</t>
  </si>
  <si>
    <t>CDLF2-15</t>
  </si>
  <si>
    <t>60 - 134</t>
  </si>
  <si>
    <t>CDLF2-15 1 Pha</t>
  </si>
  <si>
    <t>CDLF2-18</t>
  </si>
  <si>
    <t>76 - 161</t>
  </si>
  <si>
    <t>CDLF2-18 1 Pha</t>
  </si>
  <si>
    <t>CDLF2-26</t>
  </si>
  <si>
    <t>110 - 232</t>
  </si>
  <si>
    <t>CDLF4-12</t>
  </si>
  <si>
    <t>DN32</t>
  </si>
  <si>
    <t>1.5 - 7.0</t>
  </si>
  <si>
    <t>58 - 114</t>
  </si>
  <si>
    <t>CDLF4-12 1 Pha</t>
  </si>
  <si>
    <t>CDLF4-16</t>
  </si>
  <si>
    <t>78 - 152</t>
  </si>
  <si>
    <t>CDLF4-19</t>
  </si>
  <si>
    <t>93 - 183</t>
  </si>
  <si>
    <t>CDLF8-8</t>
  </si>
  <si>
    <t>DN40</t>
  </si>
  <si>
    <t>5 - 12</t>
  </si>
  <si>
    <t>52 - 83</t>
  </si>
  <si>
    <t>CDLF8-12</t>
  </si>
  <si>
    <t>78 - 124</t>
  </si>
  <si>
    <t>CDLF8-16</t>
  </si>
  <si>
    <t>106 - 166</t>
  </si>
  <si>
    <t>CDLF8-20</t>
  </si>
  <si>
    <t>135 - 208</t>
  </si>
  <si>
    <t>CDLF12-6</t>
  </si>
  <si>
    <t>DN50</t>
  </si>
  <si>
    <t>7 - 16</t>
  </si>
  <si>
    <t>42 - 71.5</t>
  </si>
  <si>
    <t>CDLF12-8</t>
  </si>
  <si>
    <t>56 - 95.5</t>
  </si>
  <si>
    <t>CDLF12-12</t>
  </si>
  <si>
    <t>86 - 143.5</t>
  </si>
  <si>
    <t>CDLF12-16</t>
  </si>
  <si>
    <t>115 - 192.5</t>
  </si>
  <si>
    <t>CDLF16-6</t>
  </si>
  <si>
    <t>8 - 22</t>
  </si>
  <si>
    <t>52 - 82</t>
  </si>
  <si>
    <t>CDLF16-7</t>
  </si>
  <si>
    <t>61 - 96</t>
  </si>
  <si>
    <t>CDLF16-8</t>
  </si>
  <si>
    <t>70 - 110</t>
  </si>
  <si>
    <t>CDLF16-10</t>
  </si>
  <si>
    <t>87 - 138</t>
  </si>
  <si>
    <t>CDLF16-12</t>
  </si>
  <si>
    <t>105 - 166</t>
  </si>
  <si>
    <t>CDLF16-14</t>
  </si>
  <si>
    <t>122 - 194</t>
  </si>
  <si>
    <t>CDLF16-16</t>
  </si>
  <si>
    <t>140 - 222</t>
  </si>
  <si>
    <t>CDLF20-4</t>
  </si>
  <si>
    <t>10 - 28</t>
  </si>
  <si>
    <t>33 - 54</t>
  </si>
  <si>
    <t>CDLF20-6</t>
  </si>
  <si>
    <t>49 - 81</t>
  </si>
  <si>
    <t>CDLF20-10</t>
  </si>
  <si>
    <t>85 - 136</t>
  </si>
  <si>
    <t>CDLF20-14</t>
  </si>
  <si>
    <t>119 - 192</t>
  </si>
  <si>
    <t>CDLF20-17</t>
  </si>
  <si>
    <t>145 - 234</t>
  </si>
  <si>
    <t>CDLF32-4</t>
  </si>
  <si>
    <t>DN65</t>
  </si>
  <si>
    <t>16 - 40</t>
  </si>
  <si>
    <t>37 - 72</t>
  </si>
  <si>
    <t>CDLF32-6</t>
  </si>
  <si>
    <t>57 - 108</t>
  </si>
  <si>
    <t>CDLF32-8</t>
  </si>
  <si>
    <t>77 - 144</t>
  </si>
  <si>
    <t>CDLF32-10</t>
  </si>
  <si>
    <t>98 - 182</t>
  </si>
  <si>
    <t>CDLF32-12</t>
  </si>
  <si>
    <t>120 - 218</t>
  </si>
  <si>
    <t>CDLF32-14</t>
  </si>
  <si>
    <t>142 - 255</t>
  </si>
  <si>
    <t>CDLF42-6</t>
  </si>
  <si>
    <t>DN80</t>
  </si>
  <si>
    <t>25 - 55</t>
  </si>
  <si>
    <t>93 - 143</t>
  </si>
  <si>
    <t>CDLF42-8</t>
  </si>
  <si>
    <t>124 - 190</t>
  </si>
  <si>
    <t>CDLF42-10</t>
  </si>
  <si>
    <t>155 - 238</t>
  </si>
  <si>
    <t>CDLF42-12</t>
  </si>
  <si>
    <t>190 - 289</t>
  </si>
  <si>
    <t>VM2-9 X 7-1.1KW-220V</t>
  </si>
  <si>
    <t>34-34</t>
  </si>
  <si>
    <t>Cánh Nhựa</t>
  </si>
  <si>
    <t>VM2-9 X 9-1.5KW-220V</t>
  </si>
  <si>
    <t>VM4-10 X 8 - 2.2KW-220V</t>
  </si>
  <si>
    <t>VM2-9 X 9T-1.5KW-380V</t>
  </si>
  <si>
    <t>VM4-10 X 8T-2.2KW-380V</t>
  </si>
  <si>
    <t>Giá nhập THINKING</t>
  </si>
  <si>
    <t>IRG32-125/0.75</t>
  </si>
  <si>
    <t>Inline</t>
  </si>
  <si>
    <t>1.5KW đóng xuống</t>
  </si>
  <si>
    <t>IRG40-100/0.75</t>
  </si>
  <si>
    <t>6,3</t>
  </si>
  <si>
    <t>12,5</t>
  </si>
  <si>
    <t>IRG50-100/0.75</t>
  </si>
  <si>
    <t>11,2</t>
  </si>
  <si>
    <t>IRG32-160/1.1</t>
  </si>
  <si>
    <t>IRG40-100/1.1</t>
  </si>
  <si>
    <t>16,3</t>
  </si>
  <si>
    <t>13,2</t>
  </si>
  <si>
    <t>IRG50-125/1.1</t>
  </si>
  <si>
    <t>14,5</t>
  </si>
  <si>
    <t>IRG40-125/1.5</t>
  </si>
  <si>
    <t>IRG50-100/1.5</t>
  </si>
  <si>
    <t>IRG65-100/1.5</t>
  </si>
  <si>
    <t>IRG40-160/2.2</t>
  </si>
  <si>
    <t>IRG50-160/2.2</t>
  </si>
  <si>
    <t>11,7</t>
  </si>
  <si>
    <t>IRG65-100/2.2</t>
  </si>
  <si>
    <t>IRG80-100/2.2</t>
  </si>
  <si>
    <t>44,8</t>
  </si>
  <si>
    <t>IRG40-200/3</t>
  </si>
  <si>
    <t>IRG50-160/3</t>
  </si>
  <si>
    <t>IRG65-125/3</t>
  </si>
  <si>
    <t>IRG80-100/3</t>
  </si>
  <si>
    <t>IRG40-200/4</t>
  </si>
  <si>
    <t>6,5</t>
  </si>
  <si>
    <t>IRG50-160/4</t>
  </si>
  <si>
    <t>IRG65-160/4</t>
  </si>
  <si>
    <t>IRG80-100/4</t>
  </si>
  <si>
    <t>IRG80-125/4</t>
  </si>
  <si>
    <t>IRG100-100/4</t>
  </si>
  <si>
    <t>IRG40-250/5.5</t>
  </si>
  <si>
    <t>IRG50-200/5.5</t>
  </si>
  <si>
    <t>IRG65-125/5.5</t>
  </si>
  <si>
    <t>IRG80-100/5.5</t>
  </si>
  <si>
    <t>IRG100-100/5.5</t>
  </si>
  <si>
    <t>IRG50-200/7.5</t>
  </si>
  <si>
    <t>IRG65-160/7.5</t>
  </si>
  <si>
    <t>IRG80-125/7.5</t>
  </si>
  <si>
    <t>IRG100-125/7.5</t>
  </si>
  <si>
    <t>IRG125-100/7.5</t>
  </si>
  <si>
    <t>IRG65-250/11</t>
  </si>
  <si>
    <t>23,4</t>
  </si>
  <si>
    <t>IRG80-200/11</t>
  </si>
  <si>
    <t>IRG80-160/11</t>
  </si>
  <si>
    <t>93,5</t>
  </si>
  <si>
    <t>IRG100-160/11</t>
  </si>
  <si>
    <t>IRG125-125/11</t>
  </si>
  <si>
    <t>Giá dự kiến</t>
  </si>
  <si>
    <t>IRG150-125/11</t>
  </si>
  <si>
    <t>IRG200-250/15</t>
  </si>
  <si>
    <t>IRG65-250/15</t>
  </si>
  <si>
    <t>17,7</t>
  </si>
  <si>
    <t>IRG80-160/15</t>
  </si>
  <si>
    <t>IRG100-125/15</t>
  </si>
  <si>
    <t>IRG125-160/15</t>
  </si>
  <si>
    <t>24,5</t>
  </si>
  <si>
    <t>IRG150-125/15</t>
  </si>
  <si>
    <t>IRG80-200/18.5</t>
  </si>
  <si>
    <t>IRG100-160/18.5</t>
  </si>
  <si>
    <t>IRG125-160/18.5</t>
  </si>
  <si>
    <t>IRG150-160/18.5</t>
  </si>
  <si>
    <t>IRG200-250/18.5</t>
  </si>
  <si>
    <t>IRG80-200/22</t>
  </si>
  <si>
    <t>IRG100-200/22</t>
  </si>
  <si>
    <t>IRG125-160/22</t>
  </si>
  <si>
    <t>IRG150-160/22</t>
  </si>
  <si>
    <t>IRG200-315/22</t>
  </si>
  <si>
    <t>IRG125-200/30</t>
  </si>
  <si>
    <t>IRG150-200/30</t>
  </si>
  <si>
    <t>IRG200-315/30</t>
  </si>
  <si>
    <t>IRG125-200/37</t>
  </si>
  <si>
    <t>IRG150-200/37</t>
  </si>
  <si>
    <t>IRG200-400/37</t>
  </si>
  <si>
    <t>IRG200-400/45</t>
  </si>
  <si>
    <t>Công suất (kw)</t>
  </si>
  <si>
    <t>Giá nhập HT</t>
  </si>
  <si>
    <t>CM32-160/1.5</t>
  </si>
  <si>
    <t>50/32</t>
  </si>
  <si>
    <t>0 - 18</t>
  </si>
  <si>
    <t>25.4 - 15.8</t>
  </si>
  <si>
    <t>CM32-160/2.2</t>
  </si>
  <si>
    <t>0 - 24</t>
  </si>
  <si>
    <t>31 - 15</t>
  </si>
  <si>
    <t>0 - 27</t>
  </si>
  <si>
    <t>CM32-200/4.0</t>
  </si>
  <si>
    <t>54.5 - 30.3</t>
  </si>
  <si>
    <t>CM32-250/5.5</t>
  </si>
  <si>
    <t>60 - 34.5</t>
  </si>
  <si>
    <t>CM32-250/7.5</t>
  </si>
  <si>
    <t>69.5 - 53</t>
  </si>
  <si>
    <t>CM32-250/9.2</t>
  </si>
  <si>
    <t>75 - 59</t>
  </si>
  <si>
    <t>CM40-160/3.0</t>
  </si>
  <si>
    <t>65/40</t>
  </si>
  <si>
    <t>0 - 36</t>
  </si>
  <si>
    <t>31.8 - 17.5</t>
  </si>
  <si>
    <t>CM40-160/4.0</t>
  </si>
  <si>
    <t>0 - 42</t>
  </si>
  <si>
    <t>38 - 20.1</t>
  </si>
  <si>
    <t>CM40-200/5.5</t>
  </si>
  <si>
    <t>46 - 30</t>
  </si>
  <si>
    <t>CM40-200/7.5</t>
  </si>
  <si>
    <t>57 - 36.5</t>
  </si>
  <si>
    <t>CM40-250/9.2</t>
  </si>
  <si>
    <t>64 - 39.8</t>
  </si>
  <si>
    <t>CM40-250/11</t>
  </si>
  <si>
    <t>72 - 47</t>
  </si>
  <si>
    <t>CM40-250/15</t>
  </si>
  <si>
    <t>84.5 - 61</t>
  </si>
  <si>
    <t>CM40-250/18.5</t>
  </si>
  <si>
    <t>90 - 66.5</t>
  </si>
  <si>
    <t>CM50-125/4.0</t>
  </si>
  <si>
    <t>65/50</t>
  </si>
  <si>
    <t>0 - 72</t>
  </si>
  <si>
    <t>24 - 11.8</t>
  </si>
  <si>
    <t>CM50-160/5.5</t>
  </si>
  <si>
    <t>32 - 14.8</t>
  </si>
  <si>
    <t>CM50-160/7.5</t>
  </si>
  <si>
    <t>0 - 84</t>
  </si>
  <si>
    <t>40 - 21</t>
  </si>
  <si>
    <t>CM50-200/9.2</t>
  </si>
  <si>
    <t>50.5 - 26.7</t>
  </si>
  <si>
    <t>CM50-200/11</t>
  </si>
  <si>
    <t>57.5 - 29</t>
  </si>
  <si>
    <t>CM50-200/15</t>
  </si>
  <si>
    <t>62 - 35.5</t>
  </si>
  <si>
    <t>CM50-250/18.5</t>
  </si>
  <si>
    <t>79 - 47</t>
  </si>
  <si>
    <t>CM50-250/22</t>
  </si>
  <si>
    <t>89.5 - 57</t>
  </si>
  <si>
    <t>CM65-125/5.5</t>
  </si>
  <si>
    <t>80/65</t>
  </si>
  <si>
    <t>0 - 90</t>
  </si>
  <si>
    <t>23 - 13.7</t>
  </si>
  <si>
    <t>CM65-125/7.5</t>
  </si>
  <si>
    <t>0 - 108</t>
  </si>
  <si>
    <t>27 - 18</t>
  </si>
  <si>
    <t>CM65-160/9.2</t>
  </si>
  <si>
    <t>33 - 21.5</t>
  </si>
  <si>
    <t>CM65-160/11</t>
  </si>
  <si>
    <t>36 - 25.5</t>
  </si>
  <si>
    <t>CM65-160/15</t>
  </si>
  <si>
    <t>0 - 120</t>
  </si>
  <si>
    <t>42 - 29.5</t>
  </si>
  <si>
    <t>CM65-200/18.5</t>
  </si>
  <si>
    <t>52 - 42</t>
  </si>
  <si>
    <t>CM65-200/22</t>
  </si>
  <si>
    <t>59 - 44.5</t>
  </si>
  <si>
    <t>CM65-250/30</t>
  </si>
  <si>
    <t>80 - 58</t>
  </si>
  <si>
    <t>CM65-250/37</t>
  </si>
  <si>
    <t>92 - 68</t>
  </si>
  <si>
    <t>CM65-315/45</t>
  </si>
  <si>
    <t>0 - 144</t>
  </si>
  <si>
    <t>102 - 83</t>
  </si>
  <si>
    <t>CM80-160/11</t>
  </si>
  <si>
    <t>100/80</t>
  </si>
  <si>
    <t>0 - 180</t>
  </si>
  <si>
    <t>28 - 16</t>
  </si>
  <si>
    <t>CM80-160/15</t>
  </si>
  <si>
    <t>0 - 210</t>
  </si>
  <si>
    <t>34 - 16.7</t>
  </si>
  <si>
    <t>CM80-160/18.5</t>
  </si>
  <si>
    <t>39 - 23.5</t>
  </si>
  <si>
    <t>CM80-160/22</t>
  </si>
  <si>
    <t>44 - 28.5</t>
  </si>
  <si>
    <t>CM80-200/30</t>
  </si>
  <si>
    <t>60 - 40.5</t>
  </si>
  <si>
    <t>CM80-250/37</t>
  </si>
  <si>
    <t>71.5 - 38.5</t>
  </si>
  <si>
    <t>CM80-250/45</t>
  </si>
  <si>
    <t>88 - 51</t>
  </si>
  <si>
    <t>Giá nhập TT</t>
  </si>
  <si>
    <t>3M32-160/1.5</t>
  </si>
  <si>
    <t>9 - 20</t>
  </si>
  <si>
    <t>26.5 - 17</t>
  </si>
  <si>
    <t>3M32-160/2.2</t>
  </si>
  <si>
    <t>34 - 25</t>
  </si>
  <si>
    <t>3M32-200/3.0</t>
  </si>
  <si>
    <t>40 - 28</t>
  </si>
  <si>
    <t>3M32-200/4.0</t>
  </si>
  <si>
    <t>9 - 24</t>
  </si>
  <si>
    <t>52-37</t>
  </si>
  <si>
    <t>3M32-200/5.5</t>
  </si>
  <si>
    <t>67.5 - 51</t>
  </si>
  <si>
    <t>3M40-125/1.5</t>
  </si>
  <si>
    <t>12 - 42</t>
  </si>
  <si>
    <t>19 - 7</t>
  </si>
  <si>
    <t>3M40-125/2.2</t>
  </si>
  <si>
    <t>25.5 - 13</t>
  </si>
  <si>
    <t>3M40-160/3.0</t>
  </si>
  <si>
    <t>29.5 - 17</t>
  </si>
  <si>
    <t>3M40-160/4.0</t>
  </si>
  <si>
    <t>38.5 - 25.5</t>
  </si>
  <si>
    <t>3M40-200/5.5</t>
  </si>
  <si>
    <t>45.5 - 31</t>
  </si>
  <si>
    <t>3M40-200/7.5</t>
  </si>
  <si>
    <t>57 - 44</t>
  </si>
  <si>
    <t>3M40-200/11</t>
  </si>
  <si>
    <t>71 - 59</t>
  </si>
  <si>
    <t>3M50-125/4.0</t>
  </si>
  <si>
    <t>24 - 72</t>
  </si>
  <si>
    <t>26 - 14</t>
  </si>
  <si>
    <t>3M50-160/5.5</t>
  </si>
  <si>
    <t>31 - 18</t>
  </si>
  <si>
    <t>3M50-160/7.5</t>
  </si>
  <si>
    <t>38.5 - 26</t>
  </si>
  <si>
    <t>3M50-200/11</t>
  </si>
  <si>
    <t>36 - 72</t>
  </si>
  <si>
    <t>55 - 42</t>
  </si>
  <si>
    <t>3M50-200/15</t>
  </si>
  <si>
    <t>69 - 57</t>
  </si>
  <si>
    <t>3M65-125/5.5</t>
  </si>
  <si>
    <t>42 - 126</t>
  </si>
  <si>
    <t>24 - 8</t>
  </si>
  <si>
    <t>3M65-125/7.5</t>
  </si>
  <si>
    <t>42 - 132</t>
  </si>
  <si>
    <t>29.5 - 12</t>
  </si>
  <si>
    <t>3M65-160/11</t>
  </si>
  <si>
    <t>42 - 138</t>
  </si>
  <si>
    <t>38.5 - 20</t>
  </si>
  <si>
    <t>3M65-160/15</t>
  </si>
  <si>
    <t>45.5 - 26.5</t>
  </si>
  <si>
    <t>3M65-200/18.5</t>
  </si>
  <si>
    <t>58.5 - 36.3</t>
  </si>
  <si>
    <t>3M65-200/22</t>
  </si>
  <si>
    <t>65.5 - 45</t>
  </si>
  <si>
    <t>CDX90/10-0.75KW-380V</t>
  </si>
  <si>
    <t>42-34</t>
  </si>
  <si>
    <t>CDXM90/10-0.75KW-220V</t>
  </si>
  <si>
    <t>42 - 34</t>
  </si>
  <si>
    <t>CDX120/15-1.1KW-380V</t>
  </si>
  <si>
    <t>CDXM120/15-1.1KW-220V</t>
  </si>
  <si>
    <t>CDX120/20-1.5KW-380V</t>
  </si>
  <si>
    <t>CDXM120/20-1.5KW-220V</t>
  </si>
  <si>
    <t>2CDXM120/15-1.1KW-220V/380V</t>
  </si>
  <si>
    <t>2CDXM120/20-1.5KW-220V/380V</t>
  </si>
  <si>
    <t>2CDX200/30-2.2KW-380V</t>
  </si>
  <si>
    <t>DWO037M-0.37KW-220V</t>
  </si>
  <si>
    <t>DWO100M-0.75KW-220V</t>
  </si>
  <si>
    <t>48-48</t>
  </si>
  <si>
    <t>DWO150M-1.1KW-220V</t>
  </si>
  <si>
    <t>60-60</t>
  </si>
  <si>
    <t>DWO200M-1.5KW-220V</t>
  </si>
  <si>
    <t>DWO300M-2.2KW-220V</t>
  </si>
  <si>
    <t>76-60</t>
  </si>
  <si>
    <t>DWO037-0.37KW-380V</t>
  </si>
  <si>
    <t>DWO100T-0.75KW-380V</t>
  </si>
  <si>
    <t>DWO150T-1.1KW-380V</t>
  </si>
  <si>
    <t>DWO200T-1.5KW-380V</t>
  </si>
  <si>
    <t>DWO300T-2.2KW-380V</t>
  </si>
  <si>
    <t>DWO400T-3.0KW-380V</t>
  </si>
  <si>
    <t>KTZ21.5 -1.5KW-380V</t>
  </si>
  <si>
    <t>KTZ22.2 -2.2KW-380V</t>
  </si>
  <si>
    <t>KTZ32.2 -2.2KW-380V</t>
  </si>
  <si>
    <t>KTZ33.7 -3.7KW-380V</t>
  </si>
  <si>
    <t>KTZ35.5 -5.5KW-380V</t>
  </si>
  <si>
    <t>KTZ45.5 -5.5KW-380V</t>
  </si>
  <si>
    <t>KTZ47.5 -7.5KW-380V</t>
  </si>
  <si>
    <t>KTZ67.5 -7.5KW-380V</t>
  </si>
  <si>
    <t>KTZ411-11KW-380V</t>
  </si>
  <si>
    <t>KTZ611-11KW-380V</t>
  </si>
  <si>
    <t>KTZ415-15KW-380V</t>
  </si>
  <si>
    <t>KTZ615-15KW-380V</t>
  </si>
  <si>
    <t>LH422-22KW-380V</t>
  </si>
  <si>
    <t>LH622-22KW-380V</t>
  </si>
  <si>
    <t>LH430-30KW-380V</t>
  </si>
  <si>
    <t>LH630-30KW-380V</t>
  </si>
  <si>
    <t>Lưu lượng (m3/min)</t>
  </si>
  <si>
    <t>Giá nhập Trung Kiên</t>
  </si>
  <si>
    <t>MIX-0.4</t>
  </si>
  <si>
    <t>MIX-0.75</t>
  </si>
  <si>
    <t>MIX-1.1</t>
  </si>
  <si>
    <t>MIX-1.5</t>
  </si>
  <si>
    <t>MIX-2.2</t>
  </si>
  <si>
    <t>4MIX-0.4</t>
  </si>
  <si>
    <t>4MIX-0.75</t>
  </si>
  <si>
    <t>4MIX-1.1</t>
  </si>
  <si>
    <t>4MIX-1.5</t>
  </si>
  <si>
    <t>4MIX-2.2</t>
  </si>
  <si>
    <t>Lưu lượng (L/h)</t>
  </si>
  <si>
    <t>Cột áp (Bar)</t>
  </si>
  <si>
    <t>Giá ĐL</t>
  </si>
  <si>
    <t>Giá Trung Kiên</t>
  </si>
  <si>
    <t>JLM1003</t>
  </si>
  <si>
    <t>ko có</t>
  </si>
  <si>
    <t>JLM2003</t>
  </si>
  <si>
    <t>JLM3001</t>
  </si>
  <si>
    <t>JLM5001</t>
  </si>
  <si>
    <t>JBB50/10</t>
  </si>
  <si>
    <t>JBB75/10</t>
  </si>
  <si>
    <t>JBB101/10</t>
  </si>
  <si>
    <t>JBB155/10</t>
  </si>
  <si>
    <t>JBB201/7</t>
  </si>
  <si>
    <t>JBB321/6</t>
  </si>
  <si>
    <t>JBB421/6</t>
  </si>
  <si>
    <t>JBB521/5</t>
  </si>
  <si>
    <t>C660P</t>
  </si>
  <si>
    <t>C6125P</t>
  </si>
  <si>
    <t>C6250P</t>
  </si>
  <si>
    <t>Họng máy (mm)</t>
  </si>
  <si>
    <t>Perotac</t>
  </si>
  <si>
    <t>Giá nhập gồm công lắp</t>
  </si>
  <si>
    <t>Giá đầu Tý</t>
  </si>
  <si>
    <t>Giá động cơ Electrim</t>
  </si>
  <si>
    <t>RL40-1.1KW</t>
  </si>
  <si>
    <t>0.7 - 2.45</t>
  </si>
  <si>
    <t>9.8 - 78.4</t>
  </si>
  <si>
    <t>RL40-1.5KW</t>
  </si>
  <si>
    <t>RL40-2.2KW</t>
  </si>
  <si>
    <t>RL50-1.5KW</t>
  </si>
  <si>
    <t>1.16 - 4.08</t>
  </si>
  <si>
    <t>RL50-2.2KW</t>
  </si>
  <si>
    <t>RL50-3KW</t>
  </si>
  <si>
    <t>RL50-4KW</t>
  </si>
  <si>
    <t>RL50-5.5KW</t>
  </si>
  <si>
    <t>RL65-2.2KW</t>
  </si>
  <si>
    <t>1.95 - 5.71</t>
  </si>
  <si>
    <t>RL65-3KW</t>
  </si>
  <si>
    <t>RL65-4KW</t>
  </si>
  <si>
    <t>RL65-5.5KW</t>
  </si>
  <si>
    <t>RL65-7.5KW</t>
  </si>
  <si>
    <t>RL80-5.5KW</t>
  </si>
  <si>
    <t>2.91 - 9.32</t>
  </si>
  <si>
    <t>RL80-7.5KW</t>
  </si>
  <si>
    <t>RL80-11KW</t>
  </si>
  <si>
    <t>RL100-5.5KW</t>
  </si>
  <si>
    <t>5.08 - 14.65</t>
  </si>
  <si>
    <t>RL100-7.5KW</t>
  </si>
  <si>
    <t>RL100-11KW</t>
  </si>
  <si>
    <t>RL100-15KW</t>
  </si>
  <si>
    <t>RL125-11KW</t>
  </si>
  <si>
    <t>9.94 - 28.74</t>
  </si>
  <si>
    <t>RL125-15KW</t>
  </si>
  <si>
    <t>RL125-18.5KW</t>
  </si>
  <si>
    <t>RL125-22KW</t>
  </si>
  <si>
    <t>RL125-30KW</t>
  </si>
  <si>
    <t>RL150-15KW</t>
  </si>
  <si>
    <t>13.09 - 37.26</t>
  </si>
  <si>
    <t>RL150-18.5KW</t>
  </si>
  <si>
    <t>RL150-22KW</t>
  </si>
  <si>
    <t>RL150-30KW</t>
  </si>
  <si>
    <t>RL150-37KW</t>
  </si>
  <si>
    <t>Loại</t>
  </si>
  <si>
    <t>Model</t>
  </si>
  <si>
    <t>Giá bán</t>
  </si>
  <si>
    <t>Khớp nối nhanh</t>
  </si>
  <si>
    <t>TOS-2</t>
  </si>
  <si>
    <t>DN100</t>
  </si>
  <si>
    <t>DN150</t>
  </si>
  <si>
    <t>DN200</t>
  </si>
  <si>
    <t>Đĩa phân phối khí</t>
  </si>
  <si>
    <t>CBD105</t>
  </si>
  <si>
    <t>HD270</t>
  </si>
  <si>
    <t>DN168</t>
  </si>
  <si>
    <t>DN270</t>
  </si>
  <si>
    <t>Phao điện 3M</t>
  </si>
  <si>
    <t>T-80</t>
  </si>
  <si>
    <t>Phao điện 5m</t>
  </si>
  <si>
    <t>T-100</t>
  </si>
  <si>
    <t>Ống Bạt DN50-50m</t>
  </si>
  <si>
    <t>DN50-50M</t>
  </si>
  <si>
    <t>Ống Bạt DN65-50m</t>
  </si>
  <si>
    <t>DN65-50M</t>
  </si>
  <si>
    <t>Ống Bạt DN80-50m</t>
  </si>
  <si>
    <t>DN80-50M</t>
  </si>
  <si>
    <t>Ống Bạt DN100-50m</t>
  </si>
  <si>
    <t>DN100-50M</t>
  </si>
  <si>
    <t>Ống Bạt DN150-50m</t>
  </si>
  <si>
    <t>DN150-50M</t>
  </si>
  <si>
    <t>Ống Bạt DN200-50m</t>
  </si>
  <si>
    <t>DN200-50M</t>
  </si>
  <si>
    <t>Ống Bạt DN50-17M</t>
  </si>
  <si>
    <t>DN50-17M</t>
  </si>
  <si>
    <t>Ống Bạt DN65-17M</t>
  </si>
  <si>
    <t>DN65-17M</t>
  </si>
  <si>
    <t>Ống Bạt DN80-17M</t>
  </si>
  <si>
    <t>DN80-17M</t>
  </si>
  <si>
    <t>Ống Bạt DN100-17M</t>
  </si>
  <si>
    <t>DN100-17M</t>
  </si>
  <si>
    <t>Ống Bạt DN150-17M</t>
  </si>
  <si>
    <t>DN150-17M</t>
  </si>
  <si>
    <t>Ống Bạt DN200-17M</t>
  </si>
  <si>
    <t>DN200-17M</t>
  </si>
  <si>
    <t>CDLF42-4</t>
  </si>
  <si>
    <t>62 - 95</t>
  </si>
  <si>
    <t>CM32-160/3.0</t>
  </si>
  <si>
    <t>35 - 15</t>
  </si>
  <si>
    <t>200WC150-15-11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</si>
</sst>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_-;\-* #,##0_-;_-* \-??_-;_-@_-"/>
  </numFmts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808080"/>
      <name val="Arial"/>
      <charset val="1"/>
    </font>
    <font>
      <sz val="10"/>
      <name val="Arial"/>
      <family val="2"/>
      <charset val="1"/>
    </font>
    <font>
      <sz val="10"/>
      <name val="Arial"/>
      <charset val="1"/>
    </font>
    <font>
      <sz val="10"/>
      <color rgb="FF808080"/>
      <name val="Arial"/>
      <charset val="1"/>
    </font>
    <font>
      <b/>
      <sz val="10"/>
      <color rgb="FF1E4D00"/>
      <name val="Arial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rgb="FFFF6600"/>
        <bgColor rgb="FFFF9900"/>
      </patternFill>
    </fill>
    <fill>
      <patternFill patternType="solid">
        <fgColor rgb="FF0070C0"/>
        <bgColor rgb="FF008080"/>
      </patternFill>
    </fill>
    <fill>
      <patternFill patternType="solid">
        <fgColor rgb="FF375623"/>
        <bgColor rgb="FF1E4D00"/>
      </patternFill>
    </fill>
    <fill>
      <patternFill patternType="solid">
        <fgColor rgb="FFFFFFFF"/>
        <bgColor rgb="FFEAF1FA"/>
      </patternFill>
    </fill>
    <fill>
      <patternFill patternType="solid">
        <fgColor rgb="FFFFD7D0"/>
        <bgColor rgb="FFFFE5CC"/>
      </patternFill>
    </fill>
    <fill>
      <patternFill patternType="solid">
        <fgColor rgb="FFFFE5CC"/>
        <bgColor rgb="FFFFD7D0"/>
      </patternFill>
    </fill>
    <fill>
      <patternFill patternType="solid">
        <fgColor rgb="FFCCE5FF"/>
        <bgColor rgb="FFC6EFCE"/>
      </patternFill>
    </fill>
    <fill>
      <patternFill patternType="solid">
        <fgColor rgb="FFEAF1FA"/>
        <bgColor rgb="FFFFFFFF"/>
      </patternFill>
    </fill>
    <fill>
      <patternFill patternType="solid">
        <fgColor rgb="FFC6EFCE"/>
        <bgColor rgb="FFCCE5FF"/>
      </patternFill>
    </fill>
    <fill>
      <patternFill patternType="solid">
        <fgColor rgb="FF92D050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CCE5FF"/>
        <bgColor rgb="FFEAF1FA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3" fontId="3" fillId="8" borderId="1" xfId="0" applyNumberFormat="1" applyFont="1" applyFill="1" applyBorder="1" applyAlignment="1">
      <alignment horizontal="center" vertical="center" wrapText="1"/>
    </xf>
    <xf numFmtId="3" fontId="3" fillId="9" borderId="1" xfId="0" applyNumberFormat="1" applyFont="1" applyFill="1" applyBorder="1" applyAlignment="1">
      <alignment horizontal="center" vertical="center" wrapText="1"/>
    </xf>
    <xf numFmtId="3" fontId="4" fillId="10" borderId="1" xfId="0" applyNumberFormat="1" applyFont="1" applyFill="1" applyBorder="1" applyAlignment="1">
      <alignment horizontal="center" vertical="center" wrapText="1"/>
    </xf>
    <xf numFmtId="3" fontId="3" fillId="7" borderId="1" xfId="0" applyNumberFormat="1" applyFont="1" applyFill="1" applyBorder="1" applyAlignment="1">
      <alignment horizontal="center" vertical="center" wrapText="1"/>
    </xf>
    <xf numFmtId="3" fontId="5" fillId="0" borderId="0" xfId="0" applyNumberFormat="1" applyFont="1" applyAlignment="1"/>
    <xf numFmtId="0" fontId="3" fillId="11" borderId="1" xfId="0" applyFont="1" applyFill="1" applyBorder="1" applyAlignment="1">
      <alignment horizontal="center" vertical="center" wrapText="1"/>
    </xf>
    <xf numFmtId="3" fontId="3" fillId="11" borderId="1" xfId="0" applyNumberFormat="1" applyFont="1" applyFill="1" applyBorder="1" applyAlignment="1">
      <alignment horizontal="center" vertical="center" wrapText="1"/>
    </xf>
    <xf numFmtId="3" fontId="3" fillId="12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3" fontId="3" fillId="10" borderId="1" xfId="0" applyNumberFormat="1" applyFont="1" applyFill="1" applyBorder="1" applyAlignment="1">
      <alignment horizontal="center" vertical="center" wrapText="1"/>
    </xf>
    <xf numFmtId="3" fontId="6" fillId="13" borderId="1" xfId="0" applyNumberFormat="1" applyFont="1" applyFill="1" applyBorder="1" applyAlignment="1">
      <alignment horizontal="center" vertical="center" wrapText="1"/>
    </xf>
    <xf numFmtId="164" fontId="3" fillId="8" borderId="1" xfId="0" applyNumberFormat="1" applyFont="1" applyFill="1" applyBorder="1" applyAlignment="1">
      <alignment horizontal="center" vertical="center" wrapText="1"/>
    </xf>
    <xf numFmtId="164" fontId="3" fillId="9" borderId="1" xfId="0" applyNumberFormat="1" applyFont="1" applyFill="1" applyBorder="1" applyAlignment="1">
      <alignment horizontal="center" vertical="center" wrapText="1"/>
    </xf>
    <xf numFmtId="164" fontId="3" fillId="10" borderId="1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Alignment="1"/>
    <xf numFmtId="164" fontId="1" fillId="3" borderId="1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164" fontId="1" fillId="5" borderId="1" xfId="0" applyNumberFormat="1" applyFont="1" applyFill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1" fillId="6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3" fillId="7" borderId="1" xfId="0" applyNumberFormat="1" applyFont="1" applyFill="1" applyBorder="1" applyAlignment="1">
      <alignment horizontal="center" vertical="center" wrapText="1"/>
    </xf>
    <xf numFmtId="164" fontId="3" fillId="13" borderId="1" xfId="0" applyNumberFormat="1" applyFont="1" applyFill="1" applyBorder="1" applyAlignment="1">
      <alignment horizontal="center" vertical="center" wrapText="1"/>
    </xf>
    <xf numFmtId="164" fontId="3" fillId="11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3" fontId="3" fillId="15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textRotation="90" wrapText="1"/>
    </xf>
    <xf numFmtId="0" fontId="3" fillId="7" borderId="1" xfId="0" applyFont="1" applyFill="1" applyBorder="1" applyAlignment="1">
      <alignment horizontal="center" vertical="center" textRotation="90" wrapText="1"/>
    </xf>
    <xf numFmtId="164" fontId="3" fillId="7" borderId="1" xfId="0" applyNumberFormat="1" applyFont="1" applyFill="1" applyBorder="1" applyAlignment="1">
      <alignment horizontal="center" vertical="center" textRotation="90" wrapText="1"/>
    </xf>
    <xf numFmtId="0" fontId="0" fillId="14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E5CC"/>
      <rgbColor rgb="FFEAF1FA"/>
      <rgbColor rgb="FF660066"/>
      <rgbColor rgb="FFFF8080"/>
      <rgbColor rgb="FF0070C0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D7D0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E4D00"/>
      <rgbColor rgb="FF993300"/>
      <rgbColor rgb="FF993366"/>
      <rgbColor rgb="FF1F4E78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8"/>
  <sheetViews>
    <sheetView zoomScaleNormal="100" workbookViewId="0">
      <pane ySplit="1" topLeftCell="A58" activePane="bottomLeft" state="frozen"/>
      <selection pane="bottomLeft" activeCell="B79" sqref="B79"/>
    </sheetView>
  </sheetViews>
  <sheetFormatPr defaultColWidth="8.7109375" defaultRowHeight="15" x14ac:dyDescent="0.25"/>
  <cols>
    <col min="1" max="1" width="5" style="1" customWidth="1"/>
    <col min="2" max="2" width="24" style="1" customWidth="1"/>
    <col min="3" max="4" width="12" style="1" customWidth="1"/>
    <col min="5" max="5" width="13" style="1" customWidth="1"/>
    <col min="6" max="7" width="11" style="1" customWidth="1"/>
    <col min="8" max="10" width="13" style="1" customWidth="1"/>
    <col min="11" max="14" width="14" style="1" customWidth="1"/>
    <col min="15" max="16" width="16" style="1" customWidth="1"/>
  </cols>
  <sheetData>
    <row r="1" spans="1:16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7" t="s">
        <v>14</v>
      </c>
      <c r="P1" s="7" t="s">
        <v>15</v>
      </c>
    </row>
    <row r="2" spans="1:16" ht="18" customHeight="1" x14ac:dyDescent="0.25">
      <c r="A2" s="8">
        <v>1</v>
      </c>
      <c r="B2" s="8" t="s">
        <v>16</v>
      </c>
      <c r="C2" s="8">
        <v>0.25</v>
      </c>
      <c r="D2" s="8" t="s">
        <v>17</v>
      </c>
      <c r="E2" s="8">
        <v>1</v>
      </c>
      <c r="F2" s="8">
        <v>43</v>
      </c>
      <c r="G2" s="9">
        <f t="shared" ref="G2:G27" si="0">CEILING(O2*1.1,50000)</f>
        <v>1900000</v>
      </c>
      <c r="H2" s="10">
        <f t="shared" ref="H2:H27" si="1">CEILING(P2*1.15,50000)</f>
        <v>2200000</v>
      </c>
      <c r="I2" s="11">
        <v>3800000</v>
      </c>
      <c r="J2" s="12">
        <v>1323000</v>
      </c>
      <c r="K2" s="12"/>
      <c r="L2" s="12"/>
      <c r="M2" s="8"/>
      <c r="N2" s="39" t="s">
        <v>18</v>
      </c>
      <c r="O2" s="13">
        <v>1700000</v>
      </c>
      <c r="P2" s="13">
        <v>1900000</v>
      </c>
    </row>
    <row r="3" spans="1:16" ht="18" customHeight="1" x14ac:dyDescent="0.25">
      <c r="A3" s="14">
        <v>2</v>
      </c>
      <c r="B3" s="14" t="s">
        <v>19</v>
      </c>
      <c r="C3" s="14">
        <v>0.37</v>
      </c>
      <c r="D3" s="14" t="s">
        <v>17</v>
      </c>
      <c r="E3" s="14">
        <v>1</v>
      </c>
      <c r="F3" s="14">
        <v>51</v>
      </c>
      <c r="G3" s="9">
        <f t="shared" si="0"/>
        <v>2100000</v>
      </c>
      <c r="H3" s="10">
        <f t="shared" si="1"/>
        <v>2300000</v>
      </c>
      <c r="I3" s="11">
        <v>4000000</v>
      </c>
      <c r="J3" s="15">
        <v>1413000</v>
      </c>
      <c r="K3" s="15"/>
      <c r="L3" s="15"/>
      <c r="M3" s="14"/>
      <c r="N3" s="39"/>
      <c r="O3" s="13">
        <v>1900000</v>
      </c>
      <c r="P3" s="13">
        <v>2000000</v>
      </c>
    </row>
    <row r="4" spans="1:16" ht="18" customHeight="1" x14ac:dyDescent="0.25">
      <c r="A4" s="8">
        <v>1</v>
      </c>
      <c r="B4" s="8" t="s">
        <v>20</v>
      </c>
      <c r="C4" s="8">
        <v>0.37</v>
      </c>
      <c r="D4" s="8">
        <v>27</v>
      </c>
      <c r="E4" s="8">
        <v>2.4</v>
      </c>
      <c r="F4" s="8">
        <v>48</v>
      </c>
      <c r="G4" s="9">
        <f t="shared" si="0"/>
        <v>1800000</v>
      </c>
      <c r="H4" s="10">
        <f t="shared" si="1"/>
        <v>2000000</v>
      </c>
      <c r="I4" s="11">
        <v>3400000</v>
      </c>
      <c r="J4" s="12">
        <v>1188000</v>
      </c>
      <c r="K4" s="12"/>
      <c r="L4" s="12"/>
      <c r="M4" s="8"/>
      <c r="N4" s="39" t="s">
        <v>21</v>
      </c>
      <c r="O4" s="13">
        <v>1600000</v>
      </c>
      <c r="P4" s="13">
        <v>1700000</v>
      </c>
    </row>
    <row r="5" spans="1:16" ht="18" customHeight="1" x14ac:dyDescent="0.25">
      <c r="A5" s="14">
        <v>2</v>
      </c>
      <c r="B5" s="14" t="s">
        <v>22</v>
      </c>
      <c r="C5" s="14">
        <v>0.55000000000000004</v>
      </c>
      <c r="D5" s="14">
        <v>27</v>
      </c>
      <c r="E5" s="14">
        <v>2.4</v>
      </c>
      <c r="F5" s="14">
        <v>65</v>
      </c>
      <c r="G5" s="9">
        <f t="shared" si="0"/>
        <v>2000000</v>
      </c>
      <c r="H5" s="10">
        <f t="shared" si="1"/>
        <v>2300000</v>
      </c>
      <c r="I5" s="11">
        <v>4000000</v>
      </c>
      <c r="J5" s="15">
        <v>1323000</v>
      </c>
      <c r="K5" s="15"/>
      <c r="L5" s="15"/>
      <c r="M5" s="14"/>
      <c r="N5" s="39"/>
      <c r="O5" s="13">
        <v>1800000</v>
      </c>
      <c r="P5" s="13">
        <v>2000000</v>
      </c>
    </row>
    <row r="6" spans="1:16" ht="18" customHeight="1" x14ac:dyDescent="0.25">
      <c r="A6" s="8">
        <v>3</v>
      </c>
      <c r="B6" s="8" t="s">
        <v>23</v>
      </c>
      <c r="C6" s="8">
        <v>0.75</v>
      </c>
      <c r="D6" s="8">
        <v>27</v>
      </c>
      <c r="E6" s="8">
        <v>2.4</v>
      </c>
      <c r="F6" s="8">
        <v>84</v>
      </c>
      <c r="G6" s="9">
        <f t="shared" si="0"/>
        <v>2200000</v>
      </c>
      <c r="H6" s="10">
        <f t="shared" si="1"/>
        <v>2650000</v>
      </c>
      <c r="I6" s="11">
        <v>4600000</v>
      </c>
      <c r="J6" s="12">
        <v>1557000</v>
      </c>
      <c r="K6" s="12"/>
      <c r="L6" s="12"/>
      <c r="M6" s="8"/>
      <c r="N6" s="39"/>
      <c r="O6" s="13">
        <v>2000000</v>
      </c>
      <c r="P6" s="13">
        <v>2300000</v>
      </c>
    </row>
    <row r="7" spans="1:16" ht="18" customHeight="1" x14ac:dyDescent="0.25">
      <c r="A7" s="14">
        <v>1</v>
      </c>
      <c r="B7" s="14" t="s">
        <v>24</v>
      </c>
      <c r="C7" s="14">
        <v>0.55000000000000004</v>
      </c>
      <c r="D7" s="14">
        <v>34</v>
      </c>
      <c r="E7" s="14">
        <v>3.6</v>
      </c>
      <c r="F7" s="14">
        <v>64</v>
      </c>
      <c r="G7" s="9">
        <f t="shared" si="0"/>
        <v>2100000</v>
      </c>
      <c r="H7" s="10">
        <f t="shared" si="1"/>
        <v>2300000</v>
      </c>
      <c r="I7" s="11">
        <v>4000000</v>
      </c>
      <c r="J7" s="15">
        <v>1413000</v>
      </c>
      <c r="K7" s="15"/>
      <c r="L7" s="15"/>
      <c r="M7" s="14"/>
      <c r="N7" s="38" t="s">
        <v>25</v>
      </c>
      <c r="O7" s="13">
        <v>1900000</v>
      </c>
      <c r="P7" s="13">
        <v>2000000</v>
      </c>
    </row>
    <row r="8" spans="1:16" ht="18" customHeight="1" x14ac:dyDescent="0.25">
      <c r="A8" s="8">
        <v>2</v>
      </c>
      <c r="B8" s="8" t="s">
        <v>26</v>
      </c>
      <c r="C8" s="8">
        <v>0.75</v>
      </c>
      <c r="D8" s="8">
        <v>34</v>
      </c>
      <c r="E8" s="8">
        <v>5.4</v>
      </c>
      <c r="F8" s="8">
        <v>66</v>
      </c>
      <c r="G8" s="9">
        <f t="shared" si="0"/>
        <v>2350000</v>
      </c>
      <c r="H8" s="10">
        <f t="shared" si="1"/>
        <v>2650000</v>
      </c>
      <c r="I8" s="11">
        <v>4600000</v>
      </c>
      <c r="J8" s="12">
        <v>1512000</v>
      </c>
      <c r="K8" s="12"/>
      <c r="L8" s="12"/>
      <c r="M8" s="8"/>
      <c r="N8" s="38"/>
      <c r="O8" s="13">
        <v>2100000</v>
      </c>
      <c r="P8" s="13">
        <v>2300000</v>
      </c>
    </row>
    <row r="9" spans="1:16" ht="18" customHeight="1" x14ac:dyDescent="0.25">
      <c r="A9" s="14">
        <v>3</v>
      </c>
      <c r="B9" s="14" t="s">
        <v>27</v>
      </c>
      <c r="C9" s="14">
        <v>0.75</v>
      </c>
      <c r="D9" s="14">
        <v>34</v>
      </c>
      <c r="E9" s="14">
        <v>3.6</v>
      </c>
      <c r="F9" s="14">
        <v>85</v>
      </c>
      <c r="G9" s="9">
        <f t="shared" si="0"/>
        <v>2350000</v>
      </c>
      <c r="H9" s="10">
        <f t="shared" si="1"/>
        <v>2650000</v>
      </c>
      <c r="I9" s="11">
        <v>4600000</v>
      </c>
      <c r="J9" s="15">
        <v>1512000</v>
      </c>
      <c r="K9" s="15"/>
      <c r="L9" s="15"/>
      <c r="M9" s="14"/>
      <c r="N9" s="38"/>
      <c r="O9" s="13">
        <v>2100000</v>
      </c>
      <c r="P9" s="13">
        <v>2300000</v>
      </c>
    </row>
    <row r="10" spans="1:16" ht="18" customHeight="1" x14ac:dyDescent="0.25">
      <c r="A10" s="8">
        <v>4</v>
      </c>
      <c r="B10" s="8" t="s">
        <v>28</v>
      </c>
      <c r="C10" s="8">
        <v>1.1000000000000001</v>
      </c>
      <c r="D10" s="8">
        <v>42</v>
      </c>
      <c r="E10" s="8">
        <v>5.4</v>
      </c>
      <c r="F10" s="8">
        <v>99</v>
      </c>
      <c r="G10" s="9">
        <f t="shared" si="0"/>
        <v>2900000</v>
      </c>
      <c r="H10" s="10">
        <f t="shared" si="1"/>
        <v>3450000</v>
      </c>
      <c r="I10" s="11">
        <v>6000000</v>
      </c>
      <c r="J10" s="12">
        <v>1935000</v>
      </c>
      <c r="K10" s="12"/>
      <c r="L10" s="12"/>
      <c r="M10" s="8"/>
      <c r="N10" s="38"/>
      <c r="O10" s="13">
        <v>2600000</v>
      </c>
      <c r="P10" s="13">
        <v>3000000</v>
      </c>
    </row>
    <row r="11" spans="1:16" ht="18" customHeight="1" x14ac:dyDescent="0.25">
      <c r="A11" s="14">
        <v>5</v>
      </c>
      <c r="B11" s="14" t="s">
        <v>29</v>
      </c>
      <c r="C11" s="14">
        <v>1.1000000000000001</v>
      </c>
      <c r="D11" s="14">
        <v>34</v>
      </c>
      <c r="E11" s="14">
        <v>3.6</v>
      </c>
      <c r="F11" s="14">
        <v>125</v>
      </c>
      <c r="G11" s="9">
        <f t="shared" si="0"/>
        <v>2900000</v>
      </c>
      <c r="H11" s="10">
        <f t="shared" si="1"/>
        <v>3450000</v>
      </c>
      <c r="I11" s="11">
        <v>6000000</v>
      </c>
      <c r="J11" s="15">
        <v>1935000</v>
      </c>
      <c r="K11" s="15"/>
      <c r="L11" s="15"/>
      <c r="M11" s="14"/>
      <c r="N11" s="38"/>
      <c r="O11" s="13">
        <v>2600000</v>
      </c>
      <c r="P11" s="13">
        <v>3000000</v>
      </c>
    </row>
    <row r="12" spans="1:16" ht="18" customHeight="1" x14ac:dyDescent="0.25">
      <c r="A12" s="8">
        <v>6</v>
      </c>
      <c r="B12" s="8" t="s">
        <v>30</v>
      </c>
      <c r="C12" s="8">
        <v>1.5</v>
      </c>
      <c r="D12" s="8">
        <v>42</v>
      </c>
      <c r="E12" s="8">
        <v>5.4</v>
      </c>
      <c r="F12" s="8">
        <v>115</v>
      </c>
      <c r="G12" s="9">
        <f t="shared" si="0"/>
        <v>3300000</v>
      </c>
      <c r="H12" s="10">
        <f t="shared" si="1"/>
        <v>3950000</v>
      </c>
      <c r="I12" s="11">
        <v>6800000</v>
      </c>
      <c r="J12" s="12">
        <v>2178000</v>
      </c>
      <c r="K12" s="12"/>
      <c r="L12" s="12"/>
      <c r="M12" s="8"/>
      <c r="N12" s="38"/>
      <c r="O12" s="13">
        <v>3000000</v>
      </c>
      <c r="P12" s="13">
        <v>3400000</v>
      </c>
    </row>
    <row r="13" spans="1:16" ht="18" customHeight="1" x14ac:dyDescent="0.25">
      <c r="A13" s="8">
        <v>16</v>
      </c>
      <c r="B13" s="8" t="s">
        <v>31</v>
      </c>
      <c r="C13" s="8">
        <v>0.75</v>
      </c>
      <c r="D13" s="8">
        <v>48</v>
      </c>
      <c r="E13" s="8">
        <v>6</v>
      </c>
      <c r="F13" s="8">
        <v>73</v>
      </c>
      <c r="G13" s="9">
        <f t="shared" si="0"/>
        <v>2650000</v>
      </c>
      <c r="H13" s="10">
        <f t="shared" si="1"/>
        <v>3450000</v>
      </c>
      <c r="I13" s="11">
        <v>6000000</v>
      </c>
      <c r="J13" s="16">
        <v>2034000</v>
      </c>
      <c r="K13" s="12">
        <v>813600</v>
      </c>
      <c r="L13" s="12">
        <v>1220400</v>
      </c>
      <c r="M13" s="12">
        <v>4752000</v>
      </c>
      <c r="N13" s="38"/>
      <c r="O13" s="13">
        <v>2400000</v>
      </c>
      <c r="P13" s="13">
        <v>3000000</v>
      </c>
    </row>
    <row r="14" spans="1:16" ht="18" customHeight="1" x14ac:dyDescent="0.25">
      <c r="A14" s="14">
        <v>17</v>
      </c>
      <c r="B14" s="14" t="s">
        <v>32</v>
      </c>
      <c r="C14" s="14">
        <v>1.1000000000000001</v>
      </c>
      <c r="D14" s="14">
        <v>48</v>
      </c>
      <c r="E14" s="14">
        <v>6</v>
      </c>
      <c r="F14" s="14">
        <v>87</v>
      </c>
      <c r="G14" s="9">
        <f t="shared" si="0"/>
        <v>3000000</v>
      </c>
      <c r="H14" s="10">
        <f t="shared" si="1"/>
        <v>3800000</v>
      </c>
      <c r="I14" s="11">
        <v>6600000</v>
      </c>
      <c r="J14" s="16">
        <v>2277000</v>
      </c>
      <c r="K14" s="15">
        <v>910800</v>
      </c>
      <c r="L14" s="15">
        <v>1366200</v>
      </c>
      <c r="M14" s="15">
        <v>6480000</v>
      </c>
      <c r="N14" s="38"/>
      <c r="O14" s="13">
        <v>2700000</v>
      </c>
      <c r="P14" s="13">
        <v>3300000</v>
      </c>
    </row>
    <row r="15" spans="1:16" ht="18" customHeight="1" x14ac:dyDescent="0.25">
      <c r="A15" s="8">
        <v>18</v>
      </c>
      <c r="B15" s="8" t="s">
        <v>33</v>
      </c>
      <c r="C15" s="8">
        <v>1.1000000000000001</v>
      </c>
      <c r="D15" s="8">
        <v>48</v>
      </c>
      <c r="E15" s="8">
        <v>6</v>
      </c>
      <c r="F15" s="8">
        <v>102</v>
      </c>
      <c r="G15" s="9">
        <f t="shared" si="0"/>
        <v>3000000</v>
      </c>
      <c r="H15" s="10">
        <f t="shared" si="1"/>
        <v>3800000</v>
      </c>
      <c r="I15" s="11">
        <v>6600000</v>
      </c>
      <c r="J15" s="16">
        <v>2277000</v>
      </c>
      <c r="K15" s="12">
        <v>910800</v>
      </c>
      <c r="L15" s="12">
        <v>1366200</v>
      </c>
      <c r="M15" s="12">
        <v>6480000</v>
      </c>
      <c r="N15" s="38"/>
      <c r="O15" s="13">
        <v>2700000</v>
      </c>
      <c r="P15" s="13">
        <v>3300000</v>
      </c>
    </row>
    <row r="16" spans="1:16" ht="18" customHeight="1" x14ac:dyDescent="0.25">
      <c r="A16" s="14">
        <v>19</v>
      </c>
      <c r="B16" s="14" t="s">
        <v>34</v>
      </c>
      <c r="C16" s="14">
        <v>1.5</v>
      </c>
      <c r="D16" s="14">
        <v>48</v>
      </c>
      <c r="E16" s="14">
        <v>6</v>
      </c>
      <c r="F16" s="14">
        <v>131</v>
      </c>
      <c r="G16" s="9">
        <f t="shared" si="0"/>
        <v>3450000</v>
      </c>
      <c r="H16" s="10">
        <f t="shared" si="1"/>
        <v>4300000</v>
      </c>
      <c r="I16" s="11">
        <v>7400000</v>
      </c>
      <c r="J16" s="16">
        <v>2601000</v>
      </c>
      <c r="K16" s="15">
        <v>1040400</v>
      </c>
      <c r="L16" s="15">
        <v>1560600</v>
      </c>
      <c r="M16" s="15">
        <v>7128000</v>
      </c>
      <c r="N16" s="38"/>
      <c r="O16" s="13">
        <v>3100000</v>
      </c>
      <c r="P16" s="13">
        <v>3700000</v>
      </c>
    </row>
    <row r="17" spans="1:16" ht="18" customHeight="1" x14ac:dyDescent="0.25">
      <c r="A17" s="8">
        <v>20</v>
      </c>
      <c r="B17" s="8" t="s">
        <v>35</v>
      </c>
      <c r="C17" s="8">
        <v>2.2000000000000002</v>
      </c>
      <c r="D17" s="8">
        <v>48</v>
      </c>
      <c r="E17" s="8">
        <v>6</v>
      </c>
      <c r="F17" s="8">
        <v>174</v>
      </c>
      <c r="G17" s="9">
        <f t="shared" si="0"/>
        <v>4300000</v>
      </c>
      <c r="H17" s="10">
        <f t="shared" si="1"/>
        <v>5550000</v>
      </c>
      <c r="I17" s="11">
        <v>9600000</v>
      </c>
      <c r="J17" s="16">
        <v>3402000</v>
      </c>
      <c r="K17" s="12">
        <v>1360800</v>
      </c>
      <c r="L17" s="12">
        <v>2041200</v>
      </c>
      <c r="M17" s="12">
        <v>8424000</v>
      </c>
      <c r="N17" s="38"/>
      <c r="O17" s="13">
        <v>3900000</v>
      </c>
      <c r="P17" s="13">
        <v>4800000</v>
      </c>
    </row>
    <row r="18" spans="1:16" ht="18" customHeight="1" x14ac:dyDescent="0.25">
      <c r="A18" s="14">
        <v>21</v>
      </c>
      <c r="B18" s="14" t="s">
        <v>36</v>
      </c>
      <c r="C18" s="14">
        <v>3</v>
      </c>
      <c r="D18" s="14">
        <v>48</v>
      </c>
      <c r="E18" s="14">
        <v>6</v>
      </c>
      <c r="F18" s="14">
        <v>232</v>
      </c>
      <c r="G18" s="9">
        <f t="shared" si="0"/>
        <v>5950000</v>
      </c>
      <c r="H18" s="10">
        <f t="shared" si="1"/>
        <v>7500000</v>
      </c>
      <c r="I18" s="11">
        <v>13000000</v>
      </c>
      <c r="J18" s="16">
        <v>4635000</v>
      </c>
      <c r="K18" s="15">
        <v>1854000</v>
      </c>
      <c r="L18" s="15">
        <v>2781000</v>
      </c>
      <c r="M18" s="15">
        <v>10800000</v>
      </c>
      <c r="N18" s="38"/>
      <c r="O18" s="13">
        <v>5400000</v>
      </c>
      <c r="P18" s="13">
        <v>6500000</v>
      </c>
    </row>
    <row r="19" spans="1:16" ht="18" customHeight="1" x14ac:dyDescent="0.25">
      <c r="A19" s="8">
        <v>22</v>
      </c>
      <c r="B19" s="8" t="s">
        <v>37</v>
      </c>
      <c r="C19" s="8">
        <v>4</v>
      </c>
      <c r="D19" s="8">
        <v>48</v>
      </c>
      <c r="E19" s="8">
        <v>6</v>
      </c>
      <c r="F19" s="8">
        <v>290</v>
      </c>
      <c r="G19" s="9">
        <f t="shared" si="0"/>
        <v>6600000</v>
      </c>
      <c r="H19" s="10">
        <f t="shared" si="1"/>
        <v>8400000</v>
      </c>
      <c r="I19" s="11">
        <v>14600000</v>
      </c>
      <c r="J19" s="16">
        <v>5193000</v>
      </c>
      <c r="K19" s="12">
        <v>2077200</v>
      </c>
      <c r="L19" s="12">
        <v>3115800</v>
      </c>
      <c r="M19" s="12">
        <v>12600000</v>
      </c>
      <c r="N19" s="38"/>
      <c r="O19" s="13">
        <v>6000000</v>
      </c>
      <c r="P19" s="13">
        <v>7300000</v>
      </c>
    </row>
    <row r="20" spans="1:16" ht="18" customHeight="1" x14ac:dyDescent="0.25">
      <c r="A20" s="14">
        <v>23</v>
      </c>
      <c r="B20" s="14" t="s">
        <v>38</v>
      </c>
      <c r="C20" s="14">
        <v>5.5</v>
      </c>
      <c r="D20" s="14">
        <v>48</v>
      </c>
      <c r="E20" s="14">
        <v>6</v>
      </c>
      <c r="F20" s="14">
        <v>363</v>
      </c>
      <c r="G20" s="9">
        <f t="shared" si="0"/>
        <v>8150000</v>
      </c>
      <c r="H20" s="10">
        <f t="shared" si="1"/>
        <v>10350000</v>
      </c>
      <c r="I20" s="11">
        <v>18000000</v>
      </c>
      <c r="J20" s="16">
        <v>6426000</v>
      </c>
      <c r="K20" s="15">
        <v>2570400</v>
      </c>
      <c r="L20" s="15">
        <v>3855600</v>
      </c>
      <c r="M20" s="15">
        <v>14112000</v>
      </c>
      <c r="N20" s="38"/>
      <c r="O20" s="13">
        <v>7400000</v>
      </c>
      <c r="P20" s="13">
        <v>9000000</v>
      </c>
    </row>
    <row r="21" spans="1:16" ht="18" customHeight="1" x14ac:dyDescent="0.25">
      <c r="A21" s="14">
        <v>27</v>
      </c>
      <c r="B21" s="14" t="s">
        <v>39</v>
      </c>
      <c r="C21" s="14">
        <v>1.1000000000000001</v>
      </c>
      <c r="D21" s="14">
        <v>48</v>
      </c>
      <c r="E21" s="14">
        <v>8.4</v>
      </c>
      <c r="F21" s="14">
        <v>77</v>
      </c>
      <c r="G21" s="9">
        <f t="shared" si="0"/>
        <v>3000000</v>
      </c>
      <c r="H21" s="10">
        <f t="shared" si="1"/>
        <v>3800000</v>
      </c>
      <c r="I21" s="11">
        <v>6600000</v>
      </c>
      <c r="J21" s="16">
        <v>2277000</v>
      </c>
      <c r="K21" s="15">
        <v>910800</v>
      </c>
      <c r="L21" s="15">
        <v>1366200</v>
      </c>
      <c r="M21" s="15">
        <v>6480000</v>
      </c>
      <c r="N21" s="38"/>
      <c r="O21" s="13">
        <v>2700000</v>
      </c>
      <c r="P21" s="13">
        <v>3300000</v>
      </c>
    </row>
    <row r="22" spans="1:16" ht="18" customHeight="1" x14ac:dyDescent="0.25">
      <c r="A22" s="14">
        <v>29</v>
      </c>
      <c r="B22" s="14" t="s">
        <v>40</v>
      </c>
      <c r="C22" s="14">
        <v>1.5</v>
      </c>
      <c r="D22" s="14">
        <v>48</v>
      </c>
      <c r="E22" s="14">
        <v>8.4</v>
      </c>
      <c r="F22" s="14">
        <v>105</v>
      </c>
      <c r="G22" s="9">
        <f t="shared" si="0"/>
        <v>3450000</v>
      </c>
      <c r="H22" s="10">
        <f t="shared" si="1"/>
        <v>4300000</v>
      </c>
      <c r="I22" s="11">
        <v>7400000</v>
      </c>
      <c r="J22" s="16">
        <v>2601000</v>
      </c>
      <c r="K22" s="15">
        <v>1040400</v>
      </c>
      <c r="L22" s="15">
        <v>1560600</v>
      </c>
      <c r="M22" s="15">
        <v>7128000</v>
      </c>
      <c r="N22" s="38"/>
      <c r="O22" s="13">
        <v>3100000</v>
      </c>
      <c r="P22" s="13">
        <v>3700000</v>
      </c>
    </row>
    <row r="23" spans="1:16" ht="18" customHeight="1" x14ac:dyDescent="0.25">
      <c r="A23" s="8">
        <v>30</v>
      </c>
      <c r="B23" s="8" t="s">
        <v>41</v>
      </c>
      <c r="C23" s="8">
        <v>2.2000000000000002</v>
      </c>
      <c r="D23" s="8">
        <v>48</v>
      </c>
      <c r="E23" s="8">
        <v>8.4</v>
      </c>
      <c r="F23" s="8">
        <v>140</v>
      </c>
      <c r="G23" s="9">
        <f t="shared" si="0"/>
        <v>4300000</v>
      </c>
      <c r="H23" s="10">
        <f t="shared" si="1"/>
        <v>5550000</v>
      </c>
      <c r="I23" s="11">
        <v>9600000</v>
      </c>
      <c r="J23" s="16">
        <v>3402000</v>
      </c>
      <c r="K23" s="12">
        <v>1360800</v>
      </c>
      <c r="L23" s="12">
        <v>2041200</v>
      </c>
      <c r="M23" s="12">
        <v>8424000</v>
      </c>
      <c r="N23" s="38"/>
      <c r="O23" s="13">
        <v>3900000</v>
      </c>
      <c r="P23" s="13">
        <v>4800000</v>
      </c>
    </row>
    <row r="24" spans="1:16" ht="18" customHeight="1" x14ac:dyDescent="0.25">
      <c r="A24" s="14">
        <v>31</v>
      </c>
      <c r="B24" s="14" t="s">
        <v>42</v>
      </c>
      <c r="C24" s="14">
        <v>3</v>
      </c>
      <c r="D24" s="14">
        <v>48</v>
      </c>
      <c r="E24" s="14">
        <v>8.4</v>
      </c>
      <c r="F24" s="14">
        <v>182</v>
      </c>
      <c r="G24" s="9">
        <f t="shared" si="0"/>
        <v>5950000</v>
      </c>
      <c r="H24" s="10">
        <f t="shared" si="1"/>
        <v>7500000</v>
      </c>
      <c r="I24" s="11">
        <v>13000000</v>
      </c>
      <c r="J24" s="16">
        <v>4635000</v>
      </c>
      <c r="K24" s="15">
        <v>1854000</v>
      </c>
      <c r="L24" s="15">
        <v>2781000</v>
      </c>
      <c r="M24" s="15">
        <v>10800000</v>
      </c>
      <c r="N24" s="38"/>
      <c r="O24" s="13">
        <v>5400000</v>
      </c>
      <c r="P24" s="13">
        <v>6500000</v>
      </c>
    </row>
    <row r="25" spans="1:16" ht="18" customHeight="1" x14ac:dyDescent="0.25">
      <c r="A25" s="8">
        <v>32</v>
      </c>
      <c r="B25" s="8" t="s">
        <v>43</v>
      </c>
      <c r="C25" s="8">
        <v>4</v>
      </c>
      <c r="D25" s="8">
        <v>48</v>
      </c>
      <c r="E25" s="8">
        <v>8.4</v>
      </c>
      <c r="F25" s="8">
        <v>238</v>
      </c>
      <c r="G25" s="9">
        <f t="shared" si="0"/>
        <v>6600000</v>
      </c>
      <c r="H25" s="10">
        <f t="shared" si="1"/>
        <v>8400000</v>
      </c>
      <c r="I25" s="11">
        <v>14600000</v>
      </c>
      <c r="J25" s="16">
        <v>5193000</v>
      </c>
      <c r="K25" s="12">
        <v>2077200</v>
      </c>
      <c r="L25" s="12">
        <v>3115800</v>
      </c>
      <c r="M25" s="12">
        <v>12600000</v>
      </c>
      <c r="N25" s="38"/>
      <c r="O25" s="13">
        <v>6000000</v>
      </c>
      <c r="P25" s="13">
        <v>7300000</v>
      </c>
    </row>
    <row r="26" spans="1:16" ht="18" customHeight="1" x14ac:dyDescent="0.25">
      <c r="A26" s="14">
        <v>33</v>
      </c>
      <c r="B26" s="14" t="s">
        <v>44</v>
      </c>
      <c r="C26" s="14">
        <v>5.5</v>
      </c>
      <c r="D26" s="14">
        <v>48</v>
      </c>
      <c r="E26" s="14">
        <v>8.4</v>
      </c>
      <c r="F26" s="14">
        <v>294</v>
      </c>
      <c r="G26" s="9">
        <f t="shared" si="0"/>
        <v>8150000</v>
      </c>
      <c r="H26" s="10">
        <f t="shared" si="1"/>
        <v>10350000</v>
      </c>
      <c r="I26" s="11">
        <v>18000000</v>
      </c>
      <c r="J26" s="16">
        <v>6426000</v>
      </c>
      <c r="K26" s="15">
        <v>2570400</v>
      </c>
      <c r="L26" s="15">
        <v>3855600</v>
      </c>
      <c r="M26" s="15">
        <v>14112000</v>
      </c>
      <c r="N26" s="38"/>
      <c r="O26" s="13">
        <v>7400000</v>
      </c>
      <c r="P26" s="13">
        <v>9000000</v>
      </c>
    </row>
    <row r="27" spans="1:16" ht="18" customHeight="1" x14ac:dyDescent="0.25">
      <c r="A27" s="8">
        <v>34</v>
      </c>
      <c r="B27" s="8" t="s">
        <v>45</v>
      </c>
      <c r="C27" s="8">
        <v>7.5</v>
      </c>
      <c r="D27" s="8">
        <v>48</v>
      </c>
      <c r="E27" s="8">
        <v>8.4</v>
      </c>
      <c r="F27" s="8">
        <v>364</v>
      </c>
      <c r="G27" s="9">
        <f t="shared" si="0"/>
        <v>9800000</v>
      </c>
      <c r="H27" s="10">
        <f t="shared" si="1"/>
        <v>12100000</v>
      </c>
      <c r="I27" s="11">
        <v>21000000</v>
      </c>
      <c r="J27" s="16">
        <v>7380000</v>
      </c>
      <c r="K27" s="12">
        <v>2952000</v>
      </c>
      <c r="L27" s="12">
        <v>4428000</v>
      </c>
      <c r="M27" s="12">
        <v>19152000</v>
      </c>
      <c r="N27" s="38"/>
      <c r="O27" s="13">
        <v>8900000</v>
      </c>
      <c r="P27" s="13">
        <v>10500000</v>
      </c>
    </row>
    <row r="28" spans="1:16" ht="18" customHeight="1" x14ac:dyDescent="0.25">
      <c r="A28" s="14">
        <v>39</v>
      </c>
      <c r="B28" s="14" t="s">
        <v>46</v>
      </c>
      <c r="C28" s="14">
        <v>1.5</v>
      </c>
      <c r="D28" s="14">
        <v>48</v>
      </c>
      <c r="E28" s="14">
        <v>10.8</v>
      </c>
      <c r="F28" s="14">
        <v>76</v>
      </c>
      <c r="G28" s="9">
        <f t="shared" ref="G28:G46" si="2">CEILING(O28*1.1,50000)</f>
        <v>3450000</v>
      </c>
      <c r="H28" s="10">
        <f t="shared" ref="H28:H46" si="3">CEILING(P28*1.15,50000)</f>
        <v>4300000</v>
      </c>
      <c r="I28" s="11">
        <v>7400000</v>
      </c>
      <c r="J28" s="16">
        <v>2601000</v>
      </c>
      <c r="K28" s="15">
        <v>1040400</v>
      </c>
      <c r="L28" s="15">
        <v>1560600</v>
      </c>
      <c r="M28" s="15">
        <v>7128000</v>
      </c>
      <c r="N28" s="38"/>
      <c r="O28" s="13">
        <v>3100000</v>
      </c>
      <c r="P28" s="13">
        <v>3700000</v>
      </c>
    </row>
    <row r="29" spans="1:16" ht="18" customHeight="1" x14ac:dyDescent="0.25">
      <c r="A29" s="8">
        <v>40</v>
      </c>
      <c r="B29" s="8" t="s">
        <v>47</v>
      </c>
      <c r="C29" s="8">
        <v>2.2000000000000002</v>
      </c>
      <c r="D29" s="8">
        <v>48</v>
      </c>
      <c r="E29" s="8">
        <v>10.8</v>
      </c>
      <c r="F29" s="8">
        <v>107</v>
      </c>
      <c r="G29" s="9">
        <f t="shared" si="2"/>
        <v>4300000</v>
      </c>
      <c r="H29" s="10">
        <f t="shared" si="3"/>
        <v>5550000</v>
      </c>
      <c r="I29" s="11">
        <v>9600000</v>
      </c>
      <c r="J29" s="16">
        <v>3402000</v>
      </c>
      <c r="K29" s="12">
        <v>1360800</v>
      </c>
      <c r="L29" s="12">
        <v>2041200</v>
      </c>
      <c r="M29" s="12">
        <v>8424000</v>
      </c>
      <c r="N29" s="38"/>
      <c r="O29" s="13">
        <v>3900000</v>
      </c>
      <c r="P29" s="13">
        <v>4800000</v>
      </c>
    </row>
    <row r="30" spans="1:16" ht="18" customHeight="1" x14ac:dyDescent="0.25">
      <c r="A30" s="14">
        <v>41</v>
      </c>
      <c r="B30" s="14" t="s">
        <v>48</v>
      </c>
      <c r="C30" s="14">
        <v>3</v>
      </c>
      <c r="D30" s="14">
        <v>48</v>
      </c>
      <c r="E30" s="14">
        <v>10.8</v>
      </c>
      <c r="F30" s="14">
        <v>145</v>
      </c>
      <c r="G30" s="9">
        <f t="shared" si="2"/>
        <v>5950000</v>
      </c>
      <c r="H30" s="10">
        <f t="shared" si="3"/>
        <v>7500000</v>
      </c>
      <c r="I30" s="11">
        <v>13000000</v>
      </c>
      <c r="J30" s="16">
        <v>4635000</v>
      </c>
      <c r="K30" s="15">
        <v>1854000</v>
      </c>
      <c r="L30" s="15">
        <v>2781000</v>
      </c>
      <c r="M30" s="15">
        <v>10800000</v>
      </c>
      <c r="N30" s="38"/>
      <c r="O30" s="13">
        <v>5400000</v>
      </c>
      <c r="P30" s="13">
        <v>6500000</v>
      </c>
    </row>
    <row r="31" spans="1:16" ht="18" customHeight="1" x14ac:dyDescent="0.25">
      <c r="A31" s="8">
        <v>42</v>
      </c>
      <c r="B31" s="8" t="s">
        <v>49</v>
      </c>
      <c r="C31" s="8">
        <v>4</v>
      </c>
      <c r="D31" s="8">
        <v>48</v>
      </c>
      <c r="E31" s="8">
        <v>10.8</v>
      </c>
      <c r="F31" s="8">
        <v>183</v>
      </c>
      <c r="G31" s="9">
        <f t="shared" si="2"/>
        <v>6600000</v>
      </c>
      <c r="H31" s="10">
        <f t="shared" si="3"/>
        <v>8400000</v>
      </c>
      <c r="I31" s="11">
        <v>14600000</v>
      </c>
      <c r="J31" s="16">
        <v>5193000</v>
      </c>
      <c r="K31" s="12">
        <v>2077200</v>
      </c>
      <c r="L31" s="12">
        <v>3115800</v>
      </c>
      <c r="M31" s="12">
        <v>12600000</v>
      </c>
      <c r="N31" s="38"/>
      <c r="O31" s="13">
        <v>6000000</v>
      </c>
      <c r="P31" s="13">
        <v>7300000</v>
      </c>
    </row>
    <row r="32" spans="1:16" ht="18" customHeight="1" x14ac:dyDescent="0.25">
      <c r="A32" s="14">
        <v>43</v>
      </c>
      <c r="B32" s="14" t="s">
        <v>50</v>
      </c>
      <c r="C32" s="14">
        <v>5.5</v>
      </c>
      <c r="D32" s="14">
        <v>48</v>
      </c>
      <c r="E32" s="14">
        <v>10.8</v>
      </c>
      <c r="F32" s="14">
        <v>234</v>
      </c>
      <c r="G32" s="9">
        <f t="shared" si="2"/>
        <v>8150000</v>
      </c>
      <c r="H32" s="10">
        <f t="shared" si="3"/>
        <v>10350000</v>
      </c>
      <c r="I32" s="11">
        <v>18000000</v>
      </c>
      <c r="J32" s="16">
        <v>6426000</v>
      </c>
      <c r="K32" s="15">
        <v>2570400</v>
      </c>
      <c r="L32" s="15">
        <v>3855600</v>
      </c>
      <c r="M32" s="15">
        <v>14112000</v>
      </c>
      <c r="N32" s="38"/>
      <c r="O32" s="13">
        <v>7400000</v>
      </c>
      <c r="P32" s="13">
        <v>9000000</v>
      </c>
    </row>
    <row r="33" spans="1:16" ht="18" customHeight="1" x14ac:dyDescent="0.25">
      <c r="A33" s="8">
        <v>44</v>
      </c>
      <c r="B33" s="8" t="s">
        <v>51</v>
      </c>
      <c r="C33" s="8">
        <v>7.5</v>
      </c>
      <c r="D33" s="8">
        <v>48</v>
      </c>
      <c r="E33" s="8">
        <v>10.8</v>
      </c>
      <c r="F33" s="8">
        <v>284</v>
      </c>
      <c r="G33" s="9">
        <f t="shared" si="2"/>
        <v>9800000</v>
      </c>
      <c r="H33" s="10">
        <f t="shared" si="3"/>
        <v>12100000</v>
      </c>
      <c r="I33" s="11">
        <v>21000000</v>
      </c>
      <c r="J33" s="16">
        <v>7380000</v>
      </c>
      <c r="K33" s="12">
        <v>2952000</v>
      </c>
      <c r="L33" s="12">
        <v>4428000</v>
      </c>
      <c r="M33" s="12">
        <v>19152000</v>
      </c>
      <c r="N33" s="38"/>
      <c r="O33" s="13">
        <v>8900000</v>
      </c>
      <c r="P33" s="13">
        <v>10500000</v>
      </c>
    </row>
    <row r="34" spans="1:16" ht="18" customHeight="1" x14ac:dyDescent="0.25">
      <c r="A34" s="14">
        <v>49</v>
      </c>
      <c r="B34" s="14" t="s">
        <v>52</v>
      </c>
      <c r="C34" s="14">
        <v>1.5</v>
      </c>
      <c r="D34" s="14">
        <v>48</v>
      </c>
      <c r="E34" s="14">
        <v>13.8</v>
      </c>
      <c r="F34" s="14">
        <v>61</v>
      </c>
      <c r="G34" s="9">
        <f t="shared" si="2"/>
        <v>3450000</v>
      </c>
      <c r="H34" s="10">
        <f t="shared" si="3"/>
        <v>4300000</v>
      </c>
      <c r="I34" s="11">
        <v>7400000</v>
      </c>
      <c r="J34" s="16">
        <v>2601000</v>
      </c>
      <c r="K34" s="15">
        <v>1040400</v>
      </c>
      <c r="L34" s="15">
        <v>1560600</v>
      </c>
      <c r="M34" s="15">
        <v>7128000</v>
      </c>
      <c r="N34" s="38"/>
      <c r="O34" s="13">
        <v>3100000</v>
      </c>
      <c r="P34" s="13">
        <v>3700000</v>
      </c>
    </row>
    <row r="35" spans="1:16" ht="18" customHeight="1" x14ac:dyDescent="0.25">
      <c r="A35" s="8">
        <v>50</v>
      </c>
      <c r="B35" s="8" t="s">
        <v>53</v>
      </c>
      <c r="C35" s="8">
        <v>2.2000000000000002</v>
      </c>
      <c r="D35" s="8">
        <v>48</v>
      </c>
      <c r="E35" s="8">
        <v>13.8</v>
      </c>
      <c r="F35" s="8">
        <v>88</v>
      </c>
      <c r="G35" s="9">
        <f t="shared" si="2"/>
        <v>4300000</v>
      </c>
      <c r="H35" s="10">
        <f t="shared" si="3"/>
        <v>5550000</v>
      </c>
      <c r="I35" s="11">
        <v>9600000</v>
      </c>
      <c r="J35" s="16">
        <v>3402000</v>
      </c>
      <c r="K35" s="12">
        <v>1360800</v>
      </c>
      <c r="L35" s="12">
        <v>2041200</v>
      </c>
      <c r="M35" s="12">
        <v>8424000</v>
      </c>
      <c r="N35" s="38"/>
      <c r="O35" s="13">
        <v>3900000</v>
      </c>
      <c r="P35" s="13">
        <v>4800000</v>
      </c>
    </row>
    <row r="36" spans="1:16" ht="18" customHeight="1" x14ac:dyDescent="0.25">
      <c r="A36" s="14">
        <v>51</v>
      </c>
      <c r="B36" s="14" t="s">
        <v>54</v>
      </c>
      <c r="C36" s="14">
        <v>3</v>
      </c>
      <c r="D36" s="14">
        <v>48</v>
      </c>
      <c r="E36" s="14">
        <v>13.8</v>
      </c>
      <c r="F36" s="14">
        <v>115</v>
      </c>
      <c r="G36" s="9">
        <f t="shared" si="2"/>
        <v>5950000</v>
      </c>
      <c r="H36" s="10">
        <f t="shared" si="3"/>
        <v>7500000</v>
      </c>
      <c r="I36" s="11">
        <v>13000000</v>
      </c>
      <c r="J36" s="16">
        <v>4635000</v>
      </c>
      <c r="K36" s="15">
        <v>1854000</v>
      </c>
      <c r="L36" s="15">
        <v>2781000</v>
      </c>
      <c r="M36" s="15">
        <v>10800000</v>
      </c>
      <c r="N36" s="38"/>
      <c r="O36" s="13">
        <v>5400000</v>
      </c>
      <c r="P36" s="13">
        <v>6500000</v>
      </c>
    </row>
    <row r="37" spans="1:16" ht="18" customHeight="1" x14ac:dyDescent="0.25">
      <c r="A37" s="8">
        <v>52</v>
      </c>
      <c r="B37" s="8" t="s">
        <v>55</v>
      </c>
      <c r="C37" s="8">
        <v>4</v>
      </c>
      <c r="D37" s="8">
        <v>48</v>
      </c>
      <c r="E37" s="8">
        <v>13.8</v>
      </c>
      <c r="F37" s="8">
        <v>141</v>
      </c>
      <c r="G37" s="9">
        <f t="shared" si="2"/>
        <v>6600000</v>
      </c>
      <c r="H37" s="10">
        <f t="shared" si="3"/>
        <v>8400000</v>
      </c>
      <c r="I37" s="11">
        <v>14600000</v>
      </c>
      <c r="J37" s="16">
        <v>5193000</v>
      </c>
      <c r="K37" s="12">
        <v>2077200</v>
      </c>
      <c r="L37" s="12">
        <v>3115800</v>
      </c>
      <c r="M37" s="12">
        <v>12600000</v>
      </c>
      <c r="N37" s="38"/>
      <c r="O37" s="13">
        <v>6000000</v>
      </c>
      <c r="P37" s="13">
        <v>7300000</v>
      </c>
    </row>
    <row r="38" spans="1:16" ht="18" customHeight="1" x14ac:dyDescent="0.25">
      <c r="A38" s="14">
        <v>53</v>
      </c>
      <c r="B38" s="14" t="s">
        <v>56</v>
      </c>
      <c r="C38" s="14">
        <v>5.5</v>
      </c>
      <c r="D38" s="14">
        <v>48</v>
      </c>
      <c r="E38" s="14">
        <v>13.8</v>
      </c>
      <c r="F38" s="14">
        <v>182</v>
      </c>
      <c r="G38" s="9">
        <f t="shared" si="2"/>
        <v>8150000</v>
      </c>
      <c r="H38" s="10">
        <f t="shared" si="3"/>
        <v>10350000</v>
      </c>
      <c r="I38" s="11">
        <v>18000000</v>
      </c>
      <c r="J38" s="16">
        <v>6426000</v>
      </c>
      <c r="K38" s="15">
        <v>2570400</v>
      </c>
      <c r="L38" s="15">
        <v>3855600</v>
      </c>
      <c r="M38" s="15">
        <v>14112000</v>
      </c>
      <c r="N38" s="38"/>
      <c r="O38" s="13">
        <v>7400000</v>
      </c>
      <c r="P38" s="13">
        <v>9000000</v>
      </c>
    </row>
    <row r="39" spans="1:16" ht="18" customHeight="1" x14ac:dyDescent="0.25">
      <c r="A39" s="8">
        <v>54</v>
      </c>
      <c r="B39" s="8" t="s">
        <v>57</v>
      </c>
      <c r="C39" s="8">
        <v>7.5</v>
      </c>
      <c r="D39" s="8">
        <v>48</v>
      </c>
      <c r="E39" s="8">
        <v>13.8</v>
      </c>
      <c r="F39" s="8">
        <v>229</v>
      </c>
      <c r="G39" s="9">
        <f t="shared" si="2"/>
        <v>9800000</v>
      </c>
      <c r="H39" s="10">
        <f t="shared" si="3"/>
        <v>12100000</v>
      </c>
      <c r="I39" s="11">
        <v>21000000</v>
      </c>
      <c r="J39" s="16">
        <v>7380000</v>
      </c>
      <c r="K39" s="12">
        <v>2952000</v>
      </c>
      <c r="L39" s="12">
        <v>4428000</v>
      </c>
      <c r="M39" s="12">
        <v>19152000</v>
      </c>
      <c r="N39" s="38"/>
      <c r="O39" s="13">
        <v>8900000</v>
      </c>
      <c r="P39" s="13">
        <v>10500000</v>
      </c>
    </row>
    <row r="40" spans="1:16" ht="18" customHeight="1" x14ac:dyDescent="0.25">
      <c r="A40" s="14">
        <v>59</v>
      </c>
      <c r="B40" s="14" t="s">
        <v>58</v>
      </c>
      <c r="C40" s="14">
        <v>2.2000000000000002</v>
      </c>
      <c r="D40" s="14">
        <v>60</v>
      </c>
      <c r="E40" s="14">
        <v>16.2</v>
      </c>
      <c r="F40" s="14">
        <v>74</v>
      </c>
      <c r="G40" s="9">
        <f t="shared" si="2"/>
        <v>4300000</v>
      </c>
      <c r="H40" s="10">
        <f t="shared" si="3"/>
        <v>5550000</v>
      </c>
      <c r="I40" s="11">
        <v>9600000</v>
      </c>
      <c r="J40" s="16">
        <v>3402000</v>
      </c>
      <c r="K40" s="15">
        <v>1360800</v>
      </c>
      <c r="L40" s="15">
        <v>2041200</v>
      </c>
      <c r="M40" s="15">
        <v>8424000</v>
      </c>
      <c r="N40" s="38"/>
      <c r="O40" s="13">
        <v>3900000</v>
      </c>
      <c r="P40" s="13">
        <v>4800000</v>
      </c>
    </row>
    <row r="41" spans="1:16" ht="18" customHeight="1" x14ac:dyDescent="0.25">
      <c r="A41" s="8">
        <v>60</v>
      </c>
      <c r="B41" s="8" t="s">
        <v>59</v>
      </c>
      <c r="C41" s="8">
        <v>3</v>
      </c>
      <c r="D41" s="8">
        <v>60</v>
      </c>
      <c r="E41" s="8">
        <v>16.2</v>
      </c>
      <c r="F41" s="8">
        <v>98</v>
      </c>
      <c r="G41" s="9">
        <f t="shared" si="2"/>
        <v>5950000</v>
      </c>
      <c r="H41" s="10">
        <f t="shared" si="3"/>
        <v>7500000</v>
      </c>
      <c r="I41" s="11">
        <v>13000000</v>
      </c>
      <c r="J41" s="16">
        <v>4635000</v>
      </c>
      <c r="K41" s="12">
        <v>1854000</v>
      </c>
      <c r="L41" s="12">
        <v>2781000</v>
      </c>
      <c r="M41" s="12">
        <v>10800000</v>
      </c>
      <c r="N41" s="38"/>
      <c r="O41" s="13">
        <v>5400000</v>
      </c>
      <c r="P41" s="13">
        <v>6500000</v>
      </c>
    </row>
    <row r="42" spans="1:16" ht="18" customHeight="1" x14ac:dyDescent="0.25">
      <c r="A42" s="14">
        <v>61</v>
      </c>
      <c r="B42" s="14" t="s">
        <v>60</v>
      </c>
      <c r="C42" s="14">
        <v>4</v>
      </c>
      <c r="D42" s="14">
        <v>60</v>
      </c>
      <c r="E42" s="14">
        <v>16.2</v>
      </c>
      <c r="F42" s="14">
        <v>123</v>
      </c>
      <c r="G42" s="9">
        <f t="shared" si="2"/>
        <v>6600000</v>
      </c>
      <c r="H42" s="10">
        <f t="shared" si="3"/>
        <v>8400000</v>
      </c>
      <c r="I42" s="11">
        <v>14600000</v>
      </c>
      <c r="J42" s="16">
        <v>5193000</v>
      </c>
      <c r="K42" s="15">
        <v>2077200</v>
      </c>
      <c r="L42" s="15">
        <v>3115800</v>
      </c>
      <c r="M42" s="15">
        <v>12600000</v>
      </c>
      <c r="N42" s="38"/>
      <c r="O42" s="13">
        <v>6000000</v>
      </c>
      <c r="P42" s="13">
        <v>7300000</v>
      </c>
    </row>
    <row r="43" spans="1:16" ht="18" customHeight="1" x14ac:dyDescent="0.25">
      <c r="A43" s="8">
        <v>62</v>
      </c>
      <c r="B43" s="8" t="s">
        <v>61</v>
      </c>
      <c r="C43" s="8">
        <v>5.5</v>
      </c>
      <c r="D43" s="8">
        <v>60</v>
      </c>
      <c r="E43" s="8">
        <v>16.2</v>
      </c>
      <c r="F43" s="8">
        <v>159</v>
      </c>
      <c r="G43" s="9">
        <f t="shared" si="2"/>
        <v>8150000</v>
      </c>
      <c r="H43" s="10">
        <f t="shared" si="3"/>
        <v>10350000</v>
      </c>
      <c r="I43" s="11">
        <v>18000000</v>
      </c>
      <c r="J43" s="16">
        <v>6426000</v>
      </c>
      <c r="K43" s="12">
        <v>2570400</v>
      </c>
      <c r="L43" s="12">
        <v>3855600</v>
      </c>
      <c r="M43" s="12">
        <v>14112000</v>
      </c>
      <c r="N43" s="38"/>
      <c r="O43" s="13">
        <v>7400000</v>
      </c>
      <c r="P43" s="13">
        <v>9000000</v>
      </c>
    </row>
    <row r="44" spans="1:16" ht="18" customHeight="1" x14ac:dyDescent="0.25">
      <c r="A44" s="14">
        <v>63</v>
      </c>
      <c r="B44" s="14" t="s">
        <v>62</v>
      </c>
      <c r="C44" s="14">
        <v>7.5</v>
      </c>
      <c r="D44" s="14">
        <v>60</v>
      </c>
      <c r="E44" s="14">
        <v>16.2</v>
      </c>
      <c r="F44" s="14">
        <v>196</v>
      </c>
      <c r="G44" s="9">
        <f t="shared" si="2"/>
        <v>9800000</v>
      </c>
      <c r="H44" s="10">
        <f t="shared" si="3"/>
        <v>12100000</v>
      </c>
      <c r="I44" s="11">
        <v>21000000</v>
      </c>
      <c r="J44" s="16">
        <v>7380000</v>
      </c>
      <c r="K44" s="15">
        <v>2952000</v>
      </c>
      <c r="L44" s="15">
        <v>4428000</v>
      </c>
      <c r="M44" s="15">
        <v>19152000</v>
      </c>
      <c r="N44" s="38"/>
      <c r="O44" s="13">
        <v>8900000</v>
      </c>
      <c r="P44" s="13">
        <v>10500000</v>
      </c>
    </row>
    <row r="45" spans="1:16" ht="18" customHeight="1" x14ac:dyDescent="0.25">
      <c r="A45" s="14">
        <v>67</v>
      </c>
      <c r="B45" s="14" t="s">
        <v>63</v>
      </c>
      <c r="C45" s="14">
        <v>3</v>
      </c>
      <c r="D45" s="14">
        <v>60</v>
      </c>
      <c r="E45" s="14">
        <v>21</v>
      </c>
      <c r="F45" s="14">
        <v>71</v>
      </c>
      <c r="G45" s="9">
        <f t="shared" si="2"/>
        <v>5950000</v>
      </c>
      <c r="H45" s="10">
        <f t="shared" si="3"/>
        <v>7500000</v>
      </c>
      <c r="I45" s="11">
        <v>13000000</v>
      </c>
      <c r="J45" s="16">
        <v>4635000</v>
      </c>
      <c r="K45" s="15">
        <v>1854000</v>
      </c>
      <c r="L45" s="15">
        <v>2781000</v>
      </c>
      <c r="M45" s="15">
        <v>10800000</v>
      </c>
      <c r="N45" s="38"/>
      <c r="O45" s="13">
        <v>5400000</v>
      </c>
      <c r="P45" s="13">
        <v>6500000</v>
      </c>
    </row>
    <row r="46" spans="1:16" ht="18" customHeight="1" x14ac:dyDescent="0.25">
      <c r="A46" s="8">
        <v>68</v>
      </c>
      <c r="B46" s="8" t="s">
        <v>64</v>
      </c>
      <c r="C46" s="8">
        <v>4</v>
      </c>
      <c r="D46" s="8">
        <v>60</v>
      </c>
      <c r="E46" s="8">
        <v>21</v>
      </c>
      <c r="F46" s="8">
        <v>95</v>
      </c>
      <c r="G46" s="9">
        <f t="shared" si="2"/>
        <v>6600000</v>
      </c>
      <c r="H46" s="10">
        <f t="shared" si="3"/>
        <v>8400000</v>
      </c>
      <c r="I46" s="11">
        <v>14600000</v>
      </c>
      <c r="J46" s="16">
        <v>5193000</v>
      </c>
      <c r="K46" s="12">
        <v>2077200</v>
      </c>
      <c r="L46" s="12">
        <v>3115800</v>
      </c>
      <c r="M46" s="12">
        <v>12600000</v>
      </c>
      <c r="N46" s="38"/>
      <c r="O46" s="13">
        <v>6000000</v>
      </c>
      <c r="P46" s="13">
        <v>7300000</v>
      </c>
    </row>
    <row r="47" spans="1:16" ht="18" customHeight="1" x14ac:dyDescent="0.25">
      <c r="A47" s="14">
        <v>69</v>
      </c>
      <c r="B47" s="14" t="s">
        <v>65</v>
      </c>
      <c r="C47" s="14">
        <v>5.5</v>
      </c>
      <c r="D47" s="14">
        <v>60</v>
      </c>
      <c r="E47" s="14">
        <v>21</v>
      </c>
      <c r="F47" s="14">
        <v>118</v>
      </c>
      <c r="G47" s="9">
        <f t="shared" ref="G47:G61" si="4">CEILING(O47*1.1,50000)</f>
        <v>8150000</v>
      </c>
      <c r="H47" s="10">
        <f t="shared" ref="H47:H61" si="5">CEILING(P47*1.15,50000)</f>
        <v>10350000</v>
      </c>
      <c r="I47" s="11">
        <v>18000000</v>
      </c>
      <c r="J47" s="16">
        <v>6426000</v>
      </c>
      <c r="K47" s="15">
        <v>2570400</v>
      </c>
      <c r="L47" s="15">
        <v>3855600</v>
      </c>
      <c r="M47" s="15">
        <v>14112000</v>
      </c>
      <c r="N47" s="38"/>
      <c r="O47" s="13">
        <v>7400000</v>
      </c>
      <c r="P47" s="13">
        <v>9000000</v>
      </c>
    </row>
    <row r="48" spans="1:16" ht="18" customHeight="1" x14ac:dyDescent="0.25">
      <c r="A48" s="8">
        <v>70</v>
      </c>
      <c r="B48" s="8" t="s">
        <v>66</v>
      </c>
      <c r="C48" s="8">
        <v>7.5</v>
      </c>
      <c r="D48" s="8">
        <v>60</v>
      </c>
      <c r="E48" s="8">
        <v>21</v>
      </c>
      <c r="F48" s="8">
        <v>148</v>
      </c>
      <c r="G48" s="9">
        <f t="shared" si="4"/>
        <v>9800000</v>
      </c>
      <c r="H48" s="10">
        <f t="shared" si="5"/>
        <v>12100000</v>
      </c>
      <c r="I48" s="11">
        <v>21000000</v>
      </c>
      <c r="J48" s="16">
        <v>7380000</v>
      </c>
      <c r="K48" s="12">
        <v>2952000</v>
      </c>
      <c r="L48" s="12">
        <v>4428000</v>
      </c>
      <c r="M48" s="12">
        <v>19152000</v>
      </c>
      <c r="N48" s="38"/>
      <c r="O48" s="13">
        <v>8900000</v>
      </c>
      <c r="P48" s="13">
        <v>10500000</v>
      </c>
    </row>
    <row r="49" spans="1:16" ht="18" customHeight="1" x14ac:dyDescent="0.25">
      <c r="A49" s="8">
        <v>18</v>
      </c>
      <c r="B49" s="8" t="s">
        <v>67</v>
      </c>
      <c r="C49" s="8">
        <v>5.5</v>
      </c>
      <c r="D49" s="8">
        <v>90</v>
      </c>
      <c r="E49" s="8">
        <v>45</v>
      </c>
      <c r="F49" s="8">
        <v>59</v>
      </c>
      <c r="G49" s="9">
        <f t="shared" si="4"/>
        <v>8150000</v>
      </c>
      <c r="H49" s="10">
        <f t="shared" si="5"/>
        <v>10350000</v>
      </c>
      <c r="I49" s="11">
        <v>18000000</v>
      </c>
      <c r="J49" s="16">
        <v>6426000</v>
      </c>
      <c r="K49" s="12">
        <v>2570400</v>
      </c>
      <c r="L49" s="12">
        <v>3855600</v>
      </c>
      <c r="M49" s="12">
        <v>14112000</v>
      </c>
      <c r="N49" s="38"/>
      <c r="O49" s="13">
        <v>7400000</v>
      </c>
      <c r="P49" s="13">
        <v>9000000</v>
      </c>
    </row>
    <row r="50" spans="1:16" ht="18" customHeight="1" x14ac:dyDescent="0.25">
      <c r="A50" s="14">
        <v>19</v>
      </c>
      <c r="B50" s="14" t="s">
        <v>68</v>
      </c>
      <c r="C50" s="14">
        <v>7.5</v>
      </c>
      <c r="D50" s="14">
        <v>90</v>
      </c>
      <c r="E50" s="14">
        <v>45</v>
      </c>
      <c r="F50" s="14">
        <v>88</v>
      </c>
      <c r="G50" s="9">
        <f t="shared" si="4"/>
        <v>9800000</v>
      </c>
      <c r="H50" s="10">
        <f t="shared" si="5"/>
        <v>12100000</v>
      </c>
      <c r="I50" s="11">
        <v>21000000</v>
      </c>
      <c r="J50" s="16">
        <v>7380000</v>
      </c>
      <c r="K50" s="15">
        <v>2952000</v>
      </c>
      <c r="L50" s="15">
        <v>4428000</v>
      </c>
      <c r="M50" s="15">
        <v>19152000</v>
      </c>
      <c r="N50" s="38"/>
      <c r="O50" s="13">
        <v>8900000</v>
      </c>
      <c r="P50" s="13">
        <v>10500000</v>
      </c>
    </row>
    <row r="51" spans="1:16" ht="18" customHeight="1" x14ac:dyDescent="0.25">
      <c r="A51" s="8">
        <v>20</v>
      </c>
      <c r="B51" s="8" t="s">
        <v>69</v>
      </c>
      <c r="C51" s="8">
        <v>9.1999999999999993</v>
      </c>
      <c r="D51" s="8">
        <v>90</v>
      </c>
      <c r="E51" s="8">
        <v>45</v>
      </c>
      <c r="F51" s="8">
        <v>103</v>
      </c>
      <c r="G51" s="9">
        <f t="shared" si="4"/>
        <v>11500000</v>
      </c>
      <c r="H51" s="10">
        <f t="shared" si="5"/>
        <v>14300000</v>
      </c>
      <c r="I51" s="11">
        <v>24834000</v>
      </c>
      <c r="J51" s="8"/>
      <c r="K51" s="12">
        <v>3461000</v>
      </c>
      <c r="L51" s="12">
        <v>5192000</v>
      </c>
      <c r="M51" s="8"/>
      <c r="N51" s="38"/>
      <c r="O51" s="13">
        <v>10443000</v>
      </c>
      <c r="P51" s="13">
        <v>12417000</v>
      </c>
    </row>
    <row r="52" spans="1:16" ht="18" customHeight="1" x14ac:dyDescent="0.25">
      <c r="A52" s="14">
        <v>21</v>
      </c>
      <c r="B52" s="14" t="s">
        <v>70</v>
      </c>
      <c r="C52" s="14">
        <v>11</v>
      </c>
      <c r="D52" s="14">
        <v>90</v>
      </c>
      <c r="E52" s="14">
        <v>45</v>
      </c>
      <c r="F52" s="14">
        <v>118</v>
      </c>
      <c r="G52" s="9">
        <f t="shared" si="4"/>
        <v>13300000</v>
      </c>
      <c r="H52" s="10">
        <f t="shared" si="5"/>
        <v>16650000</v>
      </c>
      <c r="I52" s="11">
        <v>28894000</v>
      </c>
      <c r="J52" s="15">
        <v>10000000</v>
      </c>
      <c r="K52" s="15">
        <v>4000000</v>
      </c>
      <c r="L52" s="15">
        <v>6000000</v>
      </c>
      <c r="M52" s="14"/>
      <c r="N52" s="38"/>
      <c r="O52" s="13">
        <v>12077000</v>
      </c>
      <c r="P52" s="13">
        <v>14447000</v>
      </c>
    </row>
    <row r="53" spans="1:16" ht="18" customHeight="1" x14ac:dyDescent="0.25">
      <c r="A53" s="8">
        <v>22</v>
      </c>
      <c r="B53" s="8" t="s">
        <v>71</v>
      </c>
      <c r="C53" s="8">
        <v>15</v>
      </c>
      <c r="D53" s="8">
        <v>90</v>
      </c>
      <c r="E53" s="8">
        <v>45</v>
      </c>
      <c r="F53" s="8">
        <v>176</v>
      </c>
      <c r="G53" s="9">
        <f t="shared" si="4"/>
        <v>17200000</v>
      </c>
      <c r="H53" s="10">
        <f t="shared" si="5"/>
        <v>20700000</v>
      </c>
      <c r="I53" s="11">
        <v>36000000</v>
      </c>
      <c r="J53" s="12">
        <v>12000000</v>
      </c>
      <c r="K53" s="12">
        <v>4800000</v>
      </c>
      <c r="L53" s="12">
        <v>7200000</v>
      </c>
      <c r="M53" s="8"/>
      <c r="N53" s="38"/>
      <c r="O53" s="13">
        <v>15600000</v>
      </c>
      <c r="P53" s="13">
        <v>18000000</v>
      </c>
    </row>
    <row r="54" spans="1:16" ht="18" customHeight="1" x14ac:dyDescent="0.25">
      <c r="A54" s="14">
        <v>23</v>
      </c>
      <c r="B54" s="14" t="s">
        <v>72</v>
      </c>
      <c r="C54" s="14">
        <v>18.5</v>
      </c>
      <c r="D54" s="14">
        <v>90</v>
      </c>
      <c r="E54" s="14">
        <v>45</v>
      </c>
      <c r="F54" s="14">
        <v>206</v>
      </c>
      <c r="G54" s="9">
        <f t="shared" si="4"/>
        <v>24350000</v>
      </c>
      <c r="H54" s="10">
        <f t="shared" si="5"/>
        <v>29350000</v>
      </c>
      <c r="I54" s="11">
        <v>51000000</v>
      </c>
      <c r="J54" s="15">
        <v>17000000</v>
      </c>
      <c r="K54" s="15">
        <v>6800000</v>
      </c>
      <c r="L54" s="15">
        <v>10200000</v>
      </c>
      <c r="M54" s="14"/>
      <c r="N54" s="38"/>
      <c r="O54" s="13">
        <v>22100000</v>
      </c>
      <c r="P54" s="13">
        <v>25500000</v>
      </c>
    </row>
    <row r="55" spans="1:16" ht="18" customHeight="1" x14ac:dyDescent="0.25">
      <c r="A55" s="8">
        <v>24</v>
      </c>
      <c r="B55" s="8" t="s">
        <v>73</v>
      </c>
      <c r="C55" s="8">
        <v>18.5</v>
      </c>
      <c r="D55" s="8">
        <v>90</v>
      </c>
      <c r="E55" s="8">
        <v>45</v>
      </c>
      <c r="F55" s="8">
        <v>235</v>
      </c>
      <c r="G55" s="9">
        <f t="shared" si="4"/>
        <v>24350000</v>
      </c>
      <c r="H55" s="10">
        <f t="shared" si="5"/>
        <v>29350000</v>
      </c>
      <c r="I55" s="11">
        <v>51000000</v>
      </c>
      <c r="J55" s="12">
        <v>17000000</v>
      </c>
      <c r="K55" s="12">
        <v>6800000</v>
      </c>
      <c r="L55" s="12">
        <v>10200000</v>
      </c>
      <c r="M55" s="8"/>
      <c r="N55" s="38"/>
      <c r="O55" s="13">
        <v>22100000</v>
      </c>
      <c r="P55" s="13">
        <v>25500000</v>
      </c>
    </row>
    <row r="56" spans="1:16" ht="18" customHeight="1" x14ac:dyDescent="0.25">
      <c r="A56" s="14">
        <v>25</v>
      </c>
      <c r="B56" s="14" t="s">
        <v>74</v>
      </c>
      <c r="C56" s="14">
        <v>22</v>
      </c>
      <c r="D56" s="14">
        <v>90</v>
      </c>
      <c r="E56" s="14">
        <v>45</v>
      </c>
      <c r="F56" s="14">
        <v>265</v>
      </c>
      <c r="G56" s="9">
        <f t="shared" si="4"/>
        <v>27950000</v>
      </c>
      <c r="H56" s="10">
        <f t="shared" si="5"/>
        <v>33700000</v>
      </c>
      <c r="I56" s="11">
        <v>58600000</v>
      </c>
      <c r="J56" s="15">
        <v>19500000</v>
      </c>
      <c r="K56" s="15">
        <v>7800000</v>
      </c>
      <c r="L56" s="15">
        <v>11700000</v>
      </c>
      <c r="M56" s="14"/>
      <c r="N56" s="38"/>
      <c r="O56" s="13">
        <v>25400000</v>
      </c>
      <c r="P56" s="13">
        <v>29300000</v>
      </c>
    </row>
    <row r="57" spans="1:16" ht="18" customHeight="1" x14ac:dyDescent="0.25">
      <c r="A57" s="8">
        <v>26</v>
      </c>
      <c r="B57" s="8" t="s">
        <v>75</v>
      </c>
      <c r="C57" s="8">
        <v>22</v>
      </c>
      <c r="D57" s="8">
        <v>90</v>
      </c>
      <c r="E57" s="8">
        <v>45</v>
      </c>
      <c r="F57" s="8">
        <v>294</v>
      </c>
      <c r="G57" s="9">
        <f t="shared" si="4"/>
        <v>27950000</v>
      </c>
      <c r="H57" s="10">
        <f t="shared" si="5"/>
        <v>33700000</v>
      </c>
      <c r="I57" s="11">
        <v>58600000</v>
      </c>
      <c r="J57" s="12">
        <v>19500000</v>
      </c>
      <c r="K57" s="12">
        <v>7800000</v>
      </c>
      <c r="L57" s="12">
        <v>11700000</v>
      </c>
      <c r="M57" s="8"/>
      <c r="N57" s="38"/>
      <c r="O57" s="13">
        <v>25400000</v>
      </c>
      <c r="P57" s="13">
        <v>29300000</v>
      </c>
    </row>
    <row r="58" spans="1:16" ht="18" customHeight="1" x14ac:dyDescent="0.25">
      <c r="A58" s="14">
        <v>27</v>
      </c>
      <c r="B58" s="14" t="s">
        <v>76</v>
      </c>
      <c r="C58" s="14">
        <v>4</v>
      </c>
      <c r="D58" s="14">
        <v>90</v>
      </c>
      <c r="E58" s="14">
        <v>54</v>
      </c>
      <c r="F58" s="14">
        <v>28</v>
      </c>
      <c r="G58" s="9">
        <f t="shared" si="4"/>
        <v>6600000</v>
      </c>
      <c r="H58" s="10">
        <f t="shared" si="5"/>
        <v>8400000</v>
      </c>
      <c r="I58" s="11">
        <v>14600000</v>
      </c>
      <c r="J58" s="16">
        <v>5193000</v>
      </c>
      <c r="K58" s="15">
        <v>2077200</v>
      </c>
      <c r="L58" s="15">
        <v>3115800</v>
      </c>
      <c r="M58" s="15">
        <v>12600000</v>
      </c>
      <c r="N58" s="38"/>
      <c r="O58" s="13">
        <v>6000000</v>
      </c>
      <c r="P58" s="13">
        <v>7300000</v>
      </c>
    </row>
    <row r="59" spans="1:16" ht="18" customHeight="1" x14ac:dyDescent="0.25">
      <c r="A59" s="8">
        <v>28</v>
      </c>
      <c r="B59" s="8" t="s">
        <v>77</v>
      </c>
      <c r="C59" s="8">
        <v>5.5</v>
      </c>
      <c r="D59" s="8">
        <v>90</v>
      </c>
      <c r="E59" s="8">
        <v>54</v>
      </c>
      <c r="F59" s="8">
        <v>42</v>
      </c>
      <c r="G59" s="9">
        <f t="shared" si="4"/>
        <v>8150000</v>
      </c>
      <c r="H59" s="10">
        <f t="shared" si="5"/>
        <v>10350000</v>
      </c>
      <c r="I59" s="11">
        <v>18000000</v>
      </c>
      <c r="J59" s="16">
        <v>6426000</v>
      </c>
      <c r="K59" s="12">
        <v>2570400</v>
      </c>
      <c r="L59" s="12">
        <v>3855600</v>
      </c>
      <c r="M59" s="12">
        <v>14112000</v>
      </c>
      <c r="N59" s="38"/>
      <c r="O59" s="13">
        <v>7400000</v>
      </c>
      <c r="P59" s="13">
        <v>9000000</v>
      </c>
    </row>
    <row r="60" spans="1:16" ht="18" customHeight="1" x14ac:dyDescent="0.25">
      <c r="A60" s="14">
        <v>29</v>
      </c>
      <c r="B60" s="14" t="s">
        <v>78</v>
      </c>
      <c r="C60" s="14">
        <v>7.5</v>
      </c>
      <c r="D60" s="14">
        <v>90</v>
      </c>
      <c r="E60" s="14">
        <v>54</v>
      </c>
      <c r="F60" s="14">
        <v>56</v>
      </c>
      <c r="G60" s="9">
        <f t="shared" si="4"/>
        <v>9800000</v>
      </c>
      <c r="H60" s="10">
        <f t="shared" si="5"/>
        <v>12100000</v>
      </c>
      <c r="I60" s="11">
        <v>21000000</v>
      </c>
      <c r="J60" s="16">
        <v>7380000</v>
      </c>
      <c r="K60" s="15">
        <v>2952000</v>
      </c>
      <c r="L60" s="15">
        <v>4428000</v>
      </c>
      <c r="M60" s="15">
        <v>19152000</v>
      </c>
      <c r="N60" s="38"/>
      <c r="O60" s="13">
        <v>8900000</v>
      </c>
      <c r="P60" s="13">
        <v>10500000</v>
      </c>
    </row>
    <row r="61" spans="1:16" ht="18" customHeight="1" x14ac:dyDescent="0.25">
      <c r="A61" s="8">
        <v>30</v>
      </c>
      <c r="B61" s="8" t="s">
        <v>79</v>
      </c>
      <c r="C61" s="8">
        <v>9.1999999999999993</v>
      </c>
      <c r="D61" s="8">
        <v>90</v>
      </c>
      <c r="E61" s="8">
        <v>54</v>
      </c>
      <c r="F61" s="8">
        <v>70</v>
      </c>
      <c r="G61" s="9">
        <f t="shared" si="4"/>
        <v>11500000</v>
      </c>
      <c r="H61" s="10">
        <f t="shared" si="5"/>
        <v>14300000</v>
      </c>
      <c r="I61" s="11">
        <v>24834000</v>
      </c>
      <c r="J61" s="8"/>
      <c r="K61" s="12">
        <v>3461000</v>
      </c>
      <c r="L61" s="12">
        <v>5192000</v>
      </c>
      <c r="M61" s="8"/>
      <c r="N61" s="38"/>
      <c r="O61" s="13">
        <v>10443000</v>
      </c>
      <c r="P61" s="13">
        <v>12417000</v>
      </c>
    </row>
    <row r="62" spans="1:16" ht="18" customHeight="1" x14ac:dyDescent="0.25">
      <c r="A62" s="14">
        <v>31</v>
      </c>
      <c r="B62" s="14" t="s">
        <v>80</v>
      </c>
      <c r="C62" s="14">
        <v>11</v>
      </c>
      <c r="D62" s="14">
        <v>90</v>
      </c>
      <c r="E62" s="14">
        <v>54</v>
      </c>
      <c r="F62" s="14">
        <v>84</v>
      </c>
      <c r="G62" s="9">
        <f t="shared" ref="G62:G67" si="6">CEILING(O62*1.1,50000)</f>
        <v>13300000</v>
      </c>
      <c r="H62" s="10">
        <f t="shared" ref="H62:H67" si="7">CEILING(P62*1.15,50000)</f>
        <v>16650000</v>
      </c>
      <c r="I62" s="11">
        <v>28894000</v>
      </c>
      <c r="J62" s="15">
        <v>10000000</v>
      </c>
      <c r="K62" s="15">
        <v>4000000</v>
      </c>
      <c r="L62" s="15">
        <v>6000000</v>
      </c>
      <c r="M62" s="14"/>
      <c r="N62" s="38"/>
      <c r="O62" s="13">
        <v>12077000</v>
      </c>
      <c r="P62" s="13">
        <v>14447000</v>
      </c>
    </row>
    <row r="63" spans="1:16" ht="18" customHeight="1" x14ac:dyDescent="0.25">
      <c r="A63" s="8">
        <v>32</v>
      </c>
      <c r="B63" s="8" t="s">
        <v>81</v>
      </c>
      <c r="C63" s="8">
        <v>15</v>
      </c>
      <c r="D63" s="8">
        <v>90</v>
      </c>
      <c r="E63" s="8">
        <v>54</v>
      </c>
      <c r="F63" s="8">
        <v>113</v>
      </c>
      <c r="G63" s="9">
        <f t="shared" si="6"/>
        <v>17200000</v>
      </c>
      <c r="H63" s="10">
        <f t="shared" si="7"/>
        <v>20700000</v>
      </c>
      <c r="I63" s="11">
        <v>36000000</v>
      </c>
      <c r="J63" s="12">
        <v>12000000</v>
      </c>
      <c r="K63" s="12">
        <v>4800000</v>
      </c>
      <c r="L63" s="12">
        <v>7200000</v>
      </c>
      <c r="M63" s="8"/>
      <c r="N63" s="38"/>
      <c r="O63" s="13">
        <v>15600000</v>
      </c>
      <c r="P63" s="13">
        <v>18000000</v>
      </c>
    </row>
    <row r="64" spans="1:16" ht="18" customHeight="1" x14ac:dyDescent="0.25">
      <c r="A64" s="14">
        <v>33</v>
      </c>
      <c r="B64" s="14" t="s">
        <v>82</v>
      </c>
      <c r="C64" s="14">
        <v>18.5</v>
      </c>
      <c r="D64" s="14">
        <v>90</v>
      </c>
      <c r="E64" s="14">
        <v>54</v>
      </c>
      <c r="F64" s="14">
        <v>155</v>
      </c>
      <c r="G64" s="9">
        <f t="shared" si="6"/>
        <v>24350000</v>
      </c>
      <c r="H64" s="10">
        <f t="shared" si="7"/>
        <v>29350000</v>
      </c>
      <c r="I64" s="11">
        <v>51000000</v>
      </c>
      <c r="J64" s="15">
        <v>17000000</v>
      </c>
      <c r="K64" s="15">
        <v>6800000</v>
      </c>
      <c r="L64" s="15">
        <v>10200000</v>
      </c>
      <c r="M64" s="14"/>
      <c r="N64" s="38"/>
      <c r="O64" s="13">
        <v>22100000</v>
      </c>
      <c r="P64" s="13">
        <v>25500000</v>
      </c>
    </row>
    <row r="65" spans="1:16" ht="18" customHeight="1" x14ac:dyDescent="0.25">
      <c r="A65" s="8">
        <v>34</v>
      </c>
      <c r="B65" s="8" t="s">
        <v>83</v>
      </c>
      <c r="C65" s="8">
        <v>18.5</v>
      </c>
      <c r="D65" s="8">
        <v>90</v>
      </c>
      <c r="E65" s="8">
        <v>54</v>
      </c>
      <c r="F65" s="8">
        <v>127</v>
      </c>
      <c r="G65" s="9">
        <f t="shared" si="6"/>
        <v>24350000</v>
      </c>
      <c r="H65" s="10">
        <f t="shared" si="7"/>
        <v>29350000</v>
      </c>
      <c r="I65" s="11">
        <v>51000000</v>
      </c>
      <c r="J65" s="12">
        <v>17000000</v>
      </c>
      <c r="K65" s="12">
        <v>6800000</v>
      </c>
      <c r="L65" s="12">
        <v>10200000</v>
      </c>
      <c r="M65" s="8"/>
      <c r="N65" s="38"/>
      <c r="O65" s="13">
        <v>22100000</v>
      </c>
      <c r="P65" s="13">
        <v>25500000</v>
      </c>
    </row>
    <row r="66" spans="1:16" ht="18" customHeight="1" x14ac:dyDescent="0.25">
      <c r="A66" s="14">
        <v>35</v>
      </c>
      <c r="B66" s="14" t="s">
        <v>84</v>
      </c>
      <c r="C66" s="14">
        <v>22</v>
      </c>
      <c r="D66" s="14">
        <v>90</v>
      </c>
      <c r="E66" s="14">
        <v>54</v>
      </c>
      <c r="F66" s="14">
        <v>183</v>
      </c>
      <c r="G66" s="9">
        <f t="shared" si="6"/>
        <v>27950000</v>
      </c>
      <c r="H66" s="10">
        <f t="shared" si="7"/>
        <v>33700000</v>
      </c>
      <c r="I66" s="11">
        <v>58600000</v>
      </c>
      <c r="J66" s="15">
        <v>19500000</v>
      </c>
      <c r="K66" s="15">
        <v>7800000</v>
      </c>
      <c r="L66" s="15">
        <v>11700000</v>
      </c>
      <c r="M66" s="14"/>
      <c r="N66" s="38"/>
      <c r="O66" s="13">
        <v>25400000</v>
      </c>
      <c r="P66" s="13">
        <v>29300000</v>
      </c>
    </row>
    <row r="67" spans="1:16" ht="18" customHeight="1" x14ac:dyDescent="0.25">
      <c r="A67" s="8">
        <v>36</v>
      </c>
      <c r="B67" s="8" t="s">
        <v>85</v>
      </c>
      <c r="C67" s="8">
        <v>22</v>
      </c>
      <c r="D67" s="8">
        <v>90</v>
      </c>
      <c r="E67" s="8">
        <v>54</v>
      </c>
      <c r="F67" s="8">
        <v>211</v>
      </c>
      <c r="G67" s="9">
        <f t="shared" si="6"/>
        <v>27950000</v>
      </c>
      <c r="H67" s="10">
        <f t="shared" si="7"/>
        <v>33700000</v>
      </c>
      <c r="I67" s="11">
        <v>58600000</v>
      </c>
      <c r="J67" s="12">
        <v>19500000</v>
      </c>
      <c r="K67" s="12">
        <v>7800000</v>
      </c>
      <c r="L67" s="12">
        <v>11700000</v>
      </c>
      <c r="M67" s="8"/>
      <c r="N67" s="38"/>
      <c r="O67" s="13">
        <v>25400000</v>
      </c>
      <c r="P67" s="13">
        <v>29300000</v>
      </c>
    </row>
    <row r="68" spans="1:16" ht="18" customHeight="1" x14ac:dyDescent="0.25">
      <c r="A68" s="14">
        <v>28</v>
      </c>
      <c r="B68" s="14" t="s">
        <v>86</v>
      </c>
      <c r="C68" s="14" t="s">
        <v>87</v>
      </c>
      <c r="D68" s="14"/>
      <c r="E68" s="14"/>
      <c r="F68" s="14"/>
      <c r="G68" s="9">
        <v>1100000</v>
      </c>
      <c r="H68" s="17">
        <v>0</v>
      </c>
      <c r="I68" s="18">
        <v>0</v>
      </c>
      <c r="J68" s="15">
        <v>950000</v>
      </c>
      <c r="K68" s="14"/>
      <c r="L68" s="14"/>
      <c r="M68" s="14"/>
      <c r="N68" s="38" t="s">
        <v>88</v>
      </c>
    </row>
    <row r="69" spans="1:16" ht="18" customHeight="1" x14ac:dyDescent="0.25">
      <c r="A69" s="8">
        <v>29</v>
      </c>
      <c r="B69" s="8" t="s">
        <v>89</v>
      </c>
      <c r="C69" s="8" t="s">
        <v>90</v>
      </c>
      <c r="D69" s="8"/>
      <c r="E69" s="8"/>
      <c r="F69" s="8"/>
      <c r="G69" s="9">
        <v>1500000</v>
      </c>
      <c r="H69" s="10">
        <v>1600000</v>
      </c>
      <c r="I69" s="19">
        <v>3200000</v>
      </c>
      <c r="J69" s="12">
        <v>1250000</v>
      </c>
      <c r="K69" s="8"/>
      <c r="L69" s="8"/>
      <c r="M69" s="8"/>
      <c r="N69" s="38"/>
    </row>
    <row r="70" spans="1:16" ht="18" customHeight="1" x14ac:dyDescent="0.25">
      <c r="A70" s="14">
        <v>30</v>
      </c>
      <c r="B70" s="14" t="s">
        <v>91</v>
      </c>
      <c r="C70" s="14" t="s">
        <v>92</v>
      </c>
      <c r="D70" s="14"/>
      <c r="E70" s="14"/>
      <c r="F70" s="14"/>
      <c r="G70" s="9">
        <v>2400000</v>
      </c>
      <c r="H70" s="10">
        <v>2500000</v>
      </c>
      <c r="I70" s="19">
        <v>5000000</v>
      </c>
      <c r="J70" s="15">
        <v>2000000</v>
      </c>
      <c r="K70" s="14"/>
      <c r="L70" s="14"/>
      <c r="M70" s="14"/>
      <c r="N70" s="38"/>
    </row>
    <row r="71" spans="1:16" ht="18" customHeight="1" x14ac:dyDescent="0.25">
      <c r="A71" s="8">
        <v>31</v>
      </c>
      <c r="B71" s="8" t="s">
        <v>93</v>
      </c>
      <c r="C71" s="8" t="s">
        <v>94</v>
      </c>
      <c r="D71" s="8"/>
      <c r="E71" s="8"/>
      <c r="F71" s="8"/>
      <c r="G71" s="9">
        <v>3600000</v>
      </c>
      <c r="H71" s="10">
        <v>4000000</v>
      </c>
      <c r="I71" s="19">
        <v>8000000</v>
      </c>
      <c r="J71" s="12">
        <v>3000000</v>
      </c>
      <c r="K71" s="8"/>
      <c r="L71" s="8"/>
      <c r="M71" s="8"/>
      <c r="N71" s="38"/>
    </row>
    <row r="72" spans="1:16" ht="18" customHeight="1" x14ac:dyDescent="0.25">
      <c r="A72" s="14">
        <v>4</v>
      </c>
      <c r="B72" s="14" t="s">
        <v>95</v>
      </c>
      <c r="C72" s="14" t="s">
        <v>96</v>
      </c>
      <c r="D72" s="14"/>
      <c r="E72" s="14"/>
      <c r="F72" s="14"/>
      <c r="G72" s="9">
        <v>1100000</v>
      </c>
      <c r="H72" s="17">
        <v>0</v>
      </c>
      <c r="I72" s="18">
        <v>0</v>
      </c>
      <c r="J72" s="15">
        <v>950000</v>
      </c>
      <c r="K72" s="14"/>
      <c r="L72" s="14"/>
      <c r="M72" s="14"/>
      <c r="N72" s="38"/>
    </row>
    <row r="73" spans="1:16" ht="18" customHeight="1" x14ac:dyDescent="0.25">
      <c r="A73" s="8">
        <v>5</v>
      </c>
      <c r="B73" s="8" t="s">
        <v>97</v>
      </c>
      <c r="C73" s="8" t="s">
        <v>98</v>
      </c>
      <c r="D73" s="8"/>
      <c r="E73" s="8"/>
      <c r="F73" s="8"/>
      <c r="G73" s="9">
        <v>1300000</v>
      </c>
      <c r="H73" s="10">
        <v>1600000</v>
      </c>
      <c r="I73" s="19">
        <v>3200000</v>
      </c>
      <c r="J73" s="12">
        <v>1050000</v>
      </c>
      <c r="K73" s="8"/>
      <c r="L73" s="8"/>
      <c r="M73" s="8"/>
      <c r="N73" s="38"/>
    </row>
    <row r="74" spans="1:16" ht="18" customHeight="1" x14ac:dyDescent="0.25">
      <c r="A74" s="14">
        <v>6</v>
      </c>
      <c r="B74" s="14" t="s">
        <v>99</v>
      </c>
      <c r="C74" s="14" t="s">
        <v>100</v>
      </c>
      <c r="D74" s="14"/>
      <c r="E74" s="14"/>
      <c r="F74" s="14"/>
      <c r="G74" s="9">
        <v>1900000</v>
      </c>
      <c r="H74" s="10">
        <v>2500000</v>
      </c>
      <c r="I74" s="19">
        <v>5000000</v>
      </c>
      <c r="J74" s="15">
        <v>1600000</v>
      </c>
      <c r="K74" s="14"/>
      <c r="L74" s="14"/>
      <c r="M74" s="14"/>
      <c r="N74" s="38"/>
    </row>
    <row r="75" spans="1:16" ht="18" customHeight="1" x14ac:dyDescent="0.25">
      <c r="A75" s="8">
        <v>7</v>
      </c>
      <c r="B75" s="8" t="s">
        <v>101</v>
      </c>
      <c r="C75" s="8" t="s">
        <v>102</v>
      </c>
      <c r="D75" s="8"/>
      <c r="E75" s="8"/>
      <c r="F75" s="8"/>
      <c r="G75" s="9">
        <v>3200000</v>
      </c>
      <c r="H75" s="10">
        <v>4000000</v>
      </c>
      <c r="I75" s="19">
        <v>8000000</v>
      </c>
      <c r="J75" s="12">
        <v>2650000</v>
      </c>
      <c r="K75" s="8"/>
      <c r="L75" s="8"/>
      <c r="M75" s="8"/>
      <c r="N75" s="38"/>
    </row>
    <row r="76" spans="1:16" ht="15" customHeight="1" x14ac:dyDescent="0.25"/>
    <row r="77" spans="1:16" ht="15" customHeight="1" x14ac:dyDescent="0.25"/>
    <row r="78" spans="1:16" ht="15" customHeight="1" x14ac:dyDescent="0.25"/>
    <row r="79" spans="1:16" ht="15" customHeight="1" x14ac:dyDescent="0.25"/>
    <row r="80" spans="1:16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34.5" customHeight="1" x14ac:dyDescent="0.25"/>
    <row r="112" ht="45.75" customHeight="1" x14ac:dyDescent="0.25"/>
    <row r="113" ht="45.75" customHeight="1" x14ac:dyDescent="0.25"/>
    <row r="114" ht="45.75" customHeight="1" x14ac:dyDescent="0.25"/>
    <row r="115" ht="34.5" customHeight="1" x14ac:dyDescent="0.25"/>
    <row r="116" ht="34.5" customHeight="1" x14ac:dyDescent="0.25"/>
    <row r="117" ht="45.75" customHeight="1" x14ac:dyDescent="0.25"/>
    <row r="118" ht="34.5" customHeight="1" x14ac:dyDescent="0.25"/>
  </sheetData>
  <mergeCells count="6">
    <mergeCell ref="N68:N75"/>
    <mergeCell ref="N2:N3"/>
    <mergeCell ref="N4:N6"/>
    <mergeCell ref="N7:N12"/>
    <mergeCell ref="N13:N48"/>
    <mergeCell ref="N49:N6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0"/>
  <sheetViews>
    <sheetView zoomScaleNormal="100" workbookViewId="0">
      <pane ySplit="1" topLeftCell="A34" activePane="bottomLeft" state="frozen"/>
      <selection pane="bottomLeft" activeCell="R38" sqref="R38"/>
    </sheetView>
  </sheetViews>
  <sheetFormatPr defaultColWidth="8.7109375" defaultRowHeight="15" x14ac:dyDescent="0.25"/>
  <cols>
    <col min="1" max="1" width="5" style="1" customWidth="1"/>
    <col min="2" max="2" width="24" style="1" customWidth="1"/>
    <col min="3" max="4" width="12" style="1" customWidth="1"/>
    <col min="5" max="5" width="13" style="1" customWidth="1"/>
    <col min="6" max="6" width="11" style="1" customWidth="1"/>
    <col min="7" max="9" width="13" style="1" customWidth="1"/>
    <col min="10" max="13" width="14" style="1" customWidth="1"/>
  </cols>
  <sheetData>
    <row r="1" spans="1:13" ht="30" customHeight="1" x14ac:dyDescent="0.25">
      <c r="A1" s="2" t="s">
        <v>0</v>
      </c>
      <c r="B1" s="2" t="s">
        <v>1</v>
      </c>
      <c r="C1" s="2" t="s">
        <v>2</v>
      </c>
      <c r="D1" s="2" t="s">
        <v>103</v>
      </c>
      <c r="E1" s="2" t="s">
        <v>104</v>
      </c>
      <c r="F1" s="2" t="s">
        <v>105</v>
      </c>
      <c r="G1" s="3" t="s">
        <v>6</v>
      </c>
      <c r="H1" s="4" t="s">
        <v>7</v>
      </c>
      <c r="I1" s="5" t="s">
        <v>8</v>
      </c>
      <c r="J1" s="2" t="s">
        <v>106</v>
      </c>
      <c r="K1" s="2" t="s">
        <v>107</v>
      </c>
      <c r="L1" s="2" t="s">
        <v>12</v>
      </c>
      <c r="M1" s="2" t="s">
        <v>13</v>
      </c>
    </row>
    <row r="2" spans="1:13" ht="18" customHeight="1" x14ac:dyDescent="0.25">
      <c r="A2" s="8">
        <v>3</v>
      </c>
      <c r="B2" s="8" t="s">
        <v>108</v>
      </c>
      <c r="C2" s="8">
        <v>0.75</v>
      </c>
      <c r="D2" s="8">
        <v>48</v>
      </c>
      <c r="E2" s="8">
        <v>6</v>
      </c>
      <c r="F2" s="8">
        <v>50</v>
      </c>
      <c r="G2" s="9">
        <v>5100000</v>
      </c>
      <c r="H2" s="10">
        <v>6100000</v>
      </c>
      <c r="I2" s="19">
        <v>7500000</v>
      </c>
      <c r="J2" s="12">
        <v>2000000</v>
      </c>
      <c r="K2" s="12">
        <v>1220400</v>
      </c>
      <c r="L2" s="12">
        <v>5760000</v>
      </c>
      <c r="M2" s="39"/>
    </row>
    <row r="3" spans="1:13" ht="18" customHeight="1" x14ac:dyDescent="0.25">
      <c r="A3" s="14">
        <v>8</v>
      </c>
      <c r="B3" s="14" t="s">
        <v>109</v>
      </c>
      <c r="C3" s="14">
        <v>1.1000000000000001</v>
      </c>
      <c r="D3" s="14">
        <v>48</v>
      </c>
      <c r="E3" s="14">
        <v>6</v>
      </c>
      <c r="F3" s="14">
        <v>76</v>
      </c>
      <c r="G3" s="9">
        <v>5600000</v>
      </c>
      <c r="H3" s="10">
        <v>6700000</v>
      </c>
      <c r="I3" s="19">
        <v>7800000</v>
      </c>
      <c r="J3" s="15">
        <v>2200000</v>
      </c>
      <c r="K3" s="15">
        <v>1366200</v>
      </c>
      <c r="L3" s="15">
        <v>7488000</v>
      </c>
      <c r="M3" s="39"/>
    </row>
    <row r="4" spans="1:13" ht="18" customHeight="1" x14ac:dyDescent="0.25">
      <c r="A4" s="14">
        <v>16</v>
      </c>
      <c r="B4" s="14" t="s">
        <v>110</v>
      </c>
      <c r="C4" s="14">
        <v>1.5</v>
      </c>
      <c r="D4" s="14">
        <v>48</v>
      </c>
      <c r="E4" s="14">
        <v>10</v>
      </c>
      <c r="F4" s="14">
        <v>63</v>
      </c>
      <c r="G4" s="9">
        <v>7000000</v>
      </c>
      <c r="H4" s="10">
        <v>8400000</v>
      </c>
      <c r="I4" s="19">
        <v>10000000</v>
      </c>
      <c r="J4" s="15">
        <v>3000000</v>
      </c>
      <c r="K4" s="15">
        <v>1560600</v>
      </c>
      <c r="L4" s="15">
        <v>8712000</v>
      </c>
      <c r="M4" s="39"/>
    </row>
    <row r="5" spans="1:13" ht="18" customHeight="1" x14ac:dyDescent="0.25">
      <c r="A5" s="8">
        <v>17</v>
      </c>
      <c r="B5" s="8" t="s">
        <v>111</v>
      </c>
      <c r="C5" s="8">
        <v>2.2000000000000002</v>
      </c>
      <c r="D5" s="8">
        <v>60</v>
      </c>
      <c r="E5" s="8">
        <v>18</v>
      </c>
      <c r="F5" s="8">
        <v>47</v>
      </c>
      <c r="G5" s="9">
        <v>8600000</v>
      </c>
      <c r="H5" s="10">
        <v>10300000</v>
      </c>
      <c r="I5" s="19">
        <v>12000000</v>
      </c>
      <c r="J5" s="12">
        <v>3500000</v>
      </c>
      <c r="K5" s="12">
        <v>2041200</v>
      </c>
      <c r="L5" s="12">
        <v>10152000</v>
      </c>
      <c r="M5" s="39"/>
    </row>
    <row r="6" spans="1:13" ht="18" customHeight="1" x14ac:dyDescent="0.25">
      <c r="A6" s="8">
        <v>23</v>
      </c>
      <c r="B6" s="8" t="s">
        <v>112</v>
      </c>
      <c r="C6" s="8">
        <v>2.2000000000000002</v>
      </c>
      <c r="D6" s="8">
        <v>48</v>
      </c>
      <c r="E6" s="8">
        <v>10</v>
      </c>
      <c r="F6" s="8">
        <v>76</v>
      </c>
      <c r="G6" s="9">
        <v>8600000</v>
      </c>
      <c r="H6" s="10">
        <v>10300000</v>
      </c>
      <c r="I6" s="19">
        <v>12000000</v>
      </c>
      <c r="J6" s="12">
        <v>3500000</v>
      </c>
      <c r="K6" s="12">
        <v>2041200</v>
      </c>
      <c r="L6" s="12">
        <v>10152000</v>
      </c>
      <c r="M6" s="39"/>
    </row>
    <row r="7" spans="1:13" ht="18" customHeight="1" x14ac:dyDescent="0.25">
      <c r="A7" s="14">
        <v>24</v>
      </c>
      <c r="B7" s="14" t="s">
        <v>113</v>
      </c>
      <c r="C7" s="14">
        <v>2.2000000000000002</v>
      </c>
      <c r="D7" s="14">
        <v>48</v>
      </c>
      <c r="E7" s="14">
        <v>10</v>
      </c>
      <c r="F7" s="14">
        <v>89</v>
      </c>
      <c r="G7" s="9">
        <v>8600000</v>
      </c>
      <c r="H7" s="10">
        <v>10300000</v>
      </c>
      <c r="I7" s="19">
        <v>12000000</v>
      </c>
      <c r="J7" s="15">
        <v>3500000</v>
      </c>
      <c r="K7" s="15">
        <v>2041200</v>
      </c>
      <c r="L7" s="15">
        <v>10152000</v>
      </c>
      <c r="M7" s="39"/>
    </row>
    <row r="8" spans="1:13" ht="18" customHeight="1" x14ac:dyDescent="0.25">
      <c r="A8" s="8">
        <v>25</v>
      </c>
      <c r="B8" s="8" t="s">
        <v>114</v>
      </c>
      <c r="C8" s="8">
        <v>3</v>
      </c>
      <c r="D8" s="8">
        <v>60</v>
      </c>
      <c r="E8" s="8">
        <v>18</v>
      </c>
      <c r="F8" s="8">
        <v>68</v>
      </c>
      <c r="G8" s="9">
        <v>10700000</v>
      </c>
      <c r="H8" s="10">
        <v>12800000</v>
      </c>
      <c r="I8" s="19">
        <v>14500000</v>
      </c>
      <c r="J8" s="12">
        <v>4000000</v>
      </c>
      <c r="K8" s="12">
        <v>2781000</v>
      </c>
      <c r="L8" s="12">
        <v>12312000</v>
      </c>
      <c r="M8" s="39"/>
    </row>
    <row r="9" spans="1:13" ht="18" customHeight="1" x14ac:dyDescent="0.25">
      <c r="A9" s="14">
        <v>30</v>
      </c>
      <c r="B9" s="14" t="s">
        <v>115</v>
      </c>
      <c r="C9" s="14">
        <v>3</v>
      </c>
      <c r="D9" s="14">
        <v>48</v>
      </c>
      <c r="E9" s="14">
        <v>10</v>
      </c>
      <c r="F9" s="14">
        <v>114</v>
      </c>
      <c r="G9" s="9">
        <v>10700000</v>
      </c>
      <c r="H9" s="10">
        <v>12800000</v>
      </c>
      <c r="I9" s="19">
        <v>14500000</v>
      </c>
      <c r="J9" s="15">
        <v>4000000</v>
      </c>
      <c r="K9" s="15">
        <v>2781000</v>
      </c>
      <c r="L9" s="15">
        <v>12312000</v>
      </c>
      <c r="M9" s="39"/>
    </row>
    <row r="10" spans="1:13" ht="18" customHeight="1" x14ac:dyDescent="0.25">
      <c r="A10" s="8">
        <v>31</v>
      </c>
      <c r="B10" s="8" t="s">
        <v>116</v>
      </c>
      <c r="C10" s="8">
        <v>4</v>
      </c>
      <c r="D10" s="8">
        <v>60</v>
      </c>
      <c r="E10" s="8">
        <v>18</v>
      </c>
      <c r="F10" s="8">
        <v>88</v>
      </c>
      <c r="G10" s="9">
        <v>12100000</v>
      </c>
      <c r="H10" s="10">
        <v>14500000</v>
      </c>
      <c r="I10" s="19">
        <v>17500000</v>
      </c>
      <c r="J10" s="12">
        <v>4700000</v>
      </c>
      <c r="K10" s="12">
        <v>3115800</v>
      </c>
      <c r="L10" s="12">
        <v>13680000</v>
      </c>
      <c r="M10" s="39"/>
    </row>
    <row r="11" spans="1:13" ht="18" customHeight="1" x14ac:dyDescent="0.25">
      <c r="A11" s="14">
        <v>34</v>
      </c>
      <c r="B11" s="14" t="s">
        <v>117</v>
      </c>
      <c r="C11" s="14">
        <v>4</v>
      </c>
      <c r="D11" s="14">
        <v>48</v>
      </c>
      <c r="E11" s="14">
        <v>6</v>
      </c>
      <c r="F11" s="14">
        <v>275</v>
      </c>
      <c r="G11" s="9">
        <v>12100000</v>
      </c>
      <c r="H11" s="10">
        <v>14500000</v>
      </c>
      <c r="I11" s="19">
        <v>17500000</v>
      </c>
      <c r="J11" s="15">
        <v>4700000</v>
      </c>
      <c r="K11" s="15">
        <v>3115800</v>
      </c>
      <c r="L11" s="15">
        <v>13680000</v>
      </c>
      <c r="M11" s="39"/>
    </row>
    <row r="12" spans="1:13" ht="18" customHeight="1" x14ac:dyDescent="0.25">
      <c r="A12" s="8">
        <v>35</v>
      </c>
      <c r="B12" s="8" t="s">
        <v>118</v>
      </c>
      <c r="C12" s="8">
        <v>4</v>
      </c>
      <c r="D12" s="8">
        <v>48</v>
      </c>
      <c r="E12" s="8">
        <v>10</v>
      </c>
      <c r="F12" s="8">
        <v>133</v>
      </c>
      <c r="G12" s="9">
        <v>12100000</v>
      </c>
      <c r="H12" s="10">
        <v>14500000</v>
      </c>
      <c r="I12" s="19">
        <v>17500000</v>
      </c>
      <c r="J12" s="12">
        <v>4700000</v>
      </c>
      <c r="K12" s="12">
        <v>3115800</v>
      </c>
      <c r="L12" s="12">
        <v>13680000</v>
      </c>
      <c r="M12" s="39"/>
    </row>
    <row r="13" spans="1:13" ht="18" customHeight="1" x14ac:dyDescent="0.25">
      <c r="A13" s="14">
        <v>36</v>
      </c>
      <c r="B13" s="14" t="s">
        <v>119</v>
      </c>
      <c r="C13" s="14">
        <v>4</v>
      </c>
      <c r="D13" s="14">
        <v>48</v>
      </c>
      <c r="E13" s="14">
        <v>10</v>
      </c>
      <c r="F13" s="14">
        <v>152</v>
      </c>
      <c r="G13" s="9">
        <v>12100000</v>
      </c>
      <c r="H13" s="10">
        <v>14500000</v>
      </c>
      <c r="I13" s="19">
        <v>17500000</v>
      </c>
      <c r="J13" s="15">
        <v>4700000</v>
      </c>
      <c r="K13" s="15">
        <v>3115800</v>
      </c>
      <c r="L13" s="15">
        <v>13680000</v>
      </c>
      <c r="M13" s="39"/>
    </row>
    <row r="14" spans="1:13" ht="18" customHeight="1" x14ac:dyDescent="0.25">
      <c r="A14" s="14">
        <v>38</v>
      </c>
      <c r="B14" s="14" t="s">
        <v>120</v>
      </c>
      <c r="C14" s="14">
        <v>5.5</v>
      </c>
      <c r="D14" s="14">
        <v>60</v>
      </c>
      <c r="E14" s="14">
        <v>18</v>
      </c>
      <c r="F14" s="14">
        <v>122</v>
      </c>
      <c r="G14" s="9">
        <v>16800000</v>
      </c>
      <c r="H14" s="10">
        <v>20200000</v>
      </c>
      <c r="I14" s="19">
        <v>23200000</v>
      </c>
      <c r="J14" s="15">
        <v>6500000</v>
      </c>
      <c r="K14" s="15">
        <v>3855600</v>
      </c>
      <c r="L14" s="15">
        <v>16632000</v>
      </c>
      <c r="M14" s="39"/>
    </row>
    <row r="15" spans="1:13" ht="18" customHeight="1" x14ac:dyDescent="0.25">
      <c r="A15" s="8">
        <v>39</v>
      </c>
      <c r="B15" s="8" t="s">
        <v>121</v>
      </c>
      <c r="C15" s="8">
        <v>5.5</v>
      </c>
      <c r="D15" s="8">
        <v>48</v>
      </c>
      <c r="E15" s="8">
        <v>6</v>
      </c>
      <c r="F15" s="8">
        <v>326</v>
      </c>
      <c r="G15" s="9">
        <v>16800000</v>
      </c>
      <c r="H15" s="10">
        <v>20200000</v>
      </c>
      <c r="I15" s="19">
        <v>23200000</v>
      </c>
      <c r="J15" s="12">
        <v>6500000</v>
      </c>
      <c r="K15" s="12">
        <v>3855600</v>
      </c>
      <c r="L15" s="12">
        <v>16632000</v>
      </c>
      <c r="M15" s="39"/>
    </row>
    <row r="16" spans="1:13" ht="18" customHeight="1" x14ac:dyDescent="0.25">
      <c r="A16" s="8">
        <v>43</v>
      </c>
      <c r="B16" s="8" t="s">
        <v>122</v>
      </c>
      <c r="C16" s="8">
        <v>7.5</v>
      </c>
      <c r="D16" s="8">
        <v>60</v>
      </c>
      <c r="E16" s="8">
        <v>18</v>
      </c>
      <c r="F16" s="8">
        <v>170</v>
      </c>
      <c r="G16" s="9">
        <v>18800000</v>
      </c>
      <c r="H16" s="10">
        <v>22600000</v>
      </c>
      <c r="I16" s="19">
        <v>27000000</v>
      </c>
      <c r="J16" s="12">
        <v>8200000</v>
      </c>
      <c r="K16" s="12">
        <v>4428000</v>
      </c>
      <c r="L16" s="12">
        <v>23184000</v>
      </c>
      <c r="M16" s="39"/>
    </row>
    <row r="17" spans="1:13" ht="18" customHeight="1" x14ac:dyDescent="0.25">
      <c r="A17" s="14">
        <v>16</v>
      </c>
      <c r="B17" s="14" t="s">
        <v>123</v>
      </c>
      <c r="C17" s="14">
        <v>5.5</v>
      </c>
      <c r="D17" s="14">
        <v>76</v>
      </c>
      <c r="E17" s="14" t="s">
        <v>124</v>
      </c>
      <c r="F17" s="14" t="s">
        <v>125</v>
      </c>
      <c r="G17" s="9">
        <v>15200000</v>
      </c>
      <c r="H17" s="10">
        <v>18200000</v>
      </c>
      <c r="I17" s="19">
        <v>23200000</v>
      </c>
      <c r="J17" s="15">
        <v>5800000</v>
      </c>
      <c r="K17" s="15">
        <v>3855600</v>
      </c>
      <c r="L17" s="15">
        <v>15408000</v>
      </c>
      <c r="M17" s="38" t="s">
        <v>126</v>
      </c>
    </row>
    <row r="18" spans="1:13" ht="18" customHeight="1" x14ac:dyDescent="0.25">
      <c r="A18" s="8">
        <v>17</v>
      </c>
      <c r="B18" s="8" t="s">
        <v>127</v>
      </c>
      <c r="C18" s="8">
        <v>7.5</v>
      </c>
      <c r="D18" s="8">
        <v>76</v>
      </c>
      <c r="E18" s="8" t="s">
        <v>124</v>
      </c>
      <c r="F18" s="8" t="s">
        <v>128</v>
      </c>
      <c r="G18" s="9">
        <v>17500000</v>
      </c>
      <c r="H18" s="10">
        <v>21000000</v>
      </c>
      <c r="I18" s="19">
        <v>27000000</v>
      </c>
      <c r="J18" s="12">
        <v>6800000</v>
      </c>
      <c r="K18" s="12">
        <v>4428000</v>
      </c>
      <c r="L18" s="12">
        <v>20880000</v>
      </c>
      <c r="M18" s="38"/>
    </row>
    <row r="19" spans="1:13" ht="18" customHeight="1" x14ac:dyDescent="0.25">
      <c r="A19" s="8">
        <v>2</v>
      </c>
      <c r="B19" s="8" t="s">
        <v>129</v>
      </c>
      <c r="C19" s="8">
        <v>5.5</v>
      </c>
      <c r="D19" s="8">
        <v>90</v>
      </c>
      <c r="E19" s="8">
        <v>40</v>
      </c>
      <c r="F19" s="8">
        <v>66</v>
      </c>
      <c r="G19" s="9">
        <v>14600000</v>
      </c>
      <c r="H19" s="10">
        <v>17500000</v>
      </c>
      <c r="I19" s="19">
        <v>30672000</v>
      </c>
      <c r="J19" s="12">
        <v>5700000</v>
      </c>
      <c r="K19" s="12">
        <v>4200000</v>
      </c>
      <c r="L19" s="12">
        <v>26856000</v>
      </c>
      <c r="M19" s="38"/>
    </row>
    <row r="20" spans="1:13" ht="18" customHeight="1" x14ac:dyDescent="0.25">
      <c r="A20" s="8">
        <v>4</v>
      </c>
      <c r="B20" s="8" t="s">
        <v>130</v>
      </c>
      <c r="C20" s="8">
        <v>7.5</v>
      </c>
      <c r="D20" s="8">
        <v>90</v>
      </c>
      <c r="E20" s="8">
        <v>40</v>
      </c>
      <c r="F20" s="8">
        <v>92</v>
      </c>
      <c r="G20" s="9">
        <v>17400000</v>
      </c>
      <c r="H20" s="10">
        <v>20900000</v>
      </c>
      <c r="I20" s="19">
        <v>34128000</v>
      </c>
      <c r="J20" s="12">
        <v>6800000</v>
      </c>
      <c r="K20" s="12">
        <v>4740000</v>
      </c>
      <c r="L20" s="12">
        <v>29952000</v>
      </c>
      <c r="M20" s="38"/>
    </row>
    <row r="21" spans="1:13" ht="18" customHeight="1" x14ac:dyDescent="0.25">
      <c r="A21" s="8">
        <v>6</v>
      </c>
      <c r="B21" s="8" t="s">
        <v>131</v>
      </c>
      <c r="C21" s="8">
        <v>7.5</v>
      </c>
      <c r="D21" s="8">
        <v>90</v>
      </c>
      <c r="E21" s="8">
        <v>55</v>
      </c>
      <c r="F21" s="8">
        <v>66</v>
      </c>
      <c r="G21" s="9">
        <v>17400000</v>
      </c>
      <c r="H21" s="10">
        <v>20900000</v>
      </c>
      <c r="I21" s="19">
        <v>34128000</v>
      </c>
      <c r="J21" s="12">
        <v>6800000</v>
      </c>
      <c r="K21" s="12">
        <v>4740000</v>
      </c>
      <c r="L21" s="12">
        <v>29952000</v>
      </c>
      <c r="M21" s="38"/>
    </row>
    <row r="22" spans="1:13" ht="18" customHeight="1" x14ac:dyDescent="0.25">
      <c r="A22" s="14">
        <v>7</v>
      </c>
      <c r="B22" s="14" t="s">
        <v>132</v>
      </c>
      <c r="C22" s="14">
        <v>7.5</v>
      </c>
      <c r="D22" s="14">
        <v>90</v>
      </c>
      <c r="E22" s="14">
        <v>65</v>
      </c>
      <c r="F22" s="14">
        <v>56</v>
      </c>
      <c r="G22" s="9">
        <v>17400000</v>
      </c>
      <c r="H22" s="10">
        <v>20900000</v>
      </c>
      <c r="I22" s="19">
        <v>34128000</v>
      </c>
      <c r="J22" s="15">
        <v>6800000</v>
      </c>
      <c r="K22" s="15">
        <v>4740000</v>
      </c>
      <c r="L22" s="15">
        <v>29952000</v>
      </c>
      <c r="M22" s="38"/>
    </row>
    <row r="23" spans="1:13" ht="18" customHeight="1" x14ac:dyDescent="0.25">
      <c r="A23" s="14">
        <v>9</v>
      </c>
      <c r="B23" s="14" t="s">
        <v>133</v>
      </c>
      <c r="C23" s="14">
        <v>9.1999999999999993</v>
      </c>
      <c r="D23" s="14">
        <v>90</v>
      </c>
      <c r="E23" s="14">
        <v>40</v>
      </c>
      <c r="F23" s="14">
        <v>118</v>
      </c>
      <c r="G23" s="9">
        <v>19500000</v>
      </c>
      <c r="H23" s="10">
        <v>24000000</v>
      </c>
      <c r="I23" s="19">
        <v>36500000</v>
      </c>
      <c r="J23" s="14"/>
      <c r="K23" s="14"/>
      <c r="L23" s="14"/>
      <c r="M23" s="38"/>
    </row>
    <row r="24" spans="1:13" ht="18" customHeight="1" x14ac:dyDescent="0.25">
      <c r="A24" s="8">
        <v>10</v>
      </c>
      <c r="B24" s="8" t="s">
        <v>134</v>
      </c>
      <c r="C24" s="8">
        <v>9.1999999999999993</v>
      </c>
      <c r="D24" s="8">
        <v>90</v>
      </c>
      <c r="E24" s="8">
        <v>55</v>
      </c>
      <c r="F24" s="8">
        <v>79</v>
      </c>
      <c r="G24" s="9">
        <v>19500000</v>
      </c>
      <c r="H24" s="10">
        <v>24000000</v>
      </c>
      <c r="I24" s="19">
        <v>36500000</v>
      </c>
      <c r="J24" s="8"/>
      <c r="K24" s="8"/>
      <c r="L24" s="8"/>
      <c r="M24" s="38"/>
    </row>
    <row r="25" spans="1:13" ht="18" customHeight="1" x14ac:dyDescent="0.25">
      <c r="A25" s="14">
        <v>11</v>
      </c>
      <c r="B25" s="14" t="s">
        <v>135</v>
      </c>
      <c r="C25" s="14">
        <v>9.1999999999999993</v>
      </c>
      <c r="D25" s="14">
        <v>90</v>
      </c>
      <c r="E25" s="14">
        <v>65</v>
      </c>
      <c r="F25" s="14">
        <v>70</v>
      </c>
      <c r="G25" s="9">
        <v>19500000</v>
      </c>
      <c r="H25" s="10">
        <v>24000000</v>
      </c>
      <c r="I25" s="19">
        <v>36500000</v>
      </c>
      <c r="J25" s="14"/>
      <c r="K25" s="14"/>
      <c r="L25" s="14"/>
      <c r="M25" s="38"/>
    </row>
    <row r="26" spans="1:13" ht="18" customHeight="1" x14ac:dyDescent="0.25">
      <c r="A26" s="14">
        <v>13</v>
      </c>
      <c r="B26" s="14" t="s">
        <v>136</v>
      </c>
      <c r="C26" s="14">
        <v>11</v>
      </c>
      <c r="D26" s="14">
        <v>90</v>
      </c>
      <c r="E26" s="14">
        <v>40</v>
      </c>
      <c r="F26" s="14">
        <v>157</v>
      </c>
      <c r="G26" s="9">
        <v>22100000</v>
      </c>
      <c r="H26" s="10">
        <v>26500000</v>
      </c>
      <c r="I26" s="19">
        <v>38880000</v>
      </c>
      <c r="J26" s="15">
        <v>8400000</v>
      </c>
      <c r="K26" s="15">
        <v>6000000</v>
      </c>
      <c r="L26" s="15">
        <v>34056000</v>
      </c>
      <c r="M26" s="38"/>
    </row>
    <row r="27" spans="1:13" ht="18" customHeight="1" x14ac:dyDescent="0.25">
      <c r="A27" s="8">
        <v>14</v>
      </c>
      <c r="B27" s="8" t="s">
        <v>137</v>
      </c>
      <c r="C27" s="8">
        <v>11</v>
      </c>
      <c r="D27" s="8">
        <v>90</v>
      </c>
      <c r="E27" s="8">
        <v>55</v>
      </c>
      <c r="F27" s="8">
        <v>92</v>
      </c>
      <c r="G27" s="9">
        <v>22100000</v>
      </c>
      <c r="H27" s="10">
        <v>26500000</v>
      </c>
      <c r="I27" s="19">
        <v>38880000</v>
      </c>
      <c r="J27" s="12">
        <v>8400000</v>
      </c>
      <c r="K27" s="12">
        <v>6000000</v>
      </c>
      <c r="L27" s="12">
        <v>34056000</v>
      </c>
      <c r="M27" s="38"/>
    </row>
    <row r="28" spans="1:13" ht="18" customHeight="1" x14ac:dyDescent="0.25">
      <c r="A28" s="14">
        <v>15</v>
      </c>
      <c r="B28" s="14" t="s">
        <v>138</v>
      </c>
      <c r="C28" s="14">
        <v>11</v>
      </c>
      <c r="D28" s="14">
        <v>90</v>
      </c>
      <c r="E28" s="14">
        <v>65</v>
      </c>
      <c r="F28" s="14">
        <v>84</v>
      </c>
      <c r="G28" s="9">
        <v>22100000</v>
      </c>
      <c r="H28" s="10">
        <v>26500000</v>
      </c>
      <c r="I28" s="19">
        <v>38880000</v>
      </c>
      <c r="J28" s="15">
        <v>8400000</v>
      </c>
      <c r="K28" s="15">
        <v>6000000</v>
      </c>
      <c r="L28" s="15">
        <v>34056000</v>
      </c>
      <c r="M28" s="38"/>
    </row>
    <row r="29" spans="1:13" ht="18" customHeight="1" x14ac:dyDescent="0.25">
      <c r="A29" s="14">
        <v>17</v>
      </c>
      <c r="B29" s="14" t="s">
        <v>139</v>
      </c>
      <c r="C29" s="14">
        <v>15</v>
      </c>
      <c r="D29" s="14">
        <v>90</v>
      </c>
      <c r="E29" s="14">
        <v>40</v>
      </c>
      <c r="F29" s="14">
        <v>210</v>
      </c>
      <c r="G29" s="9">
        <v>26600000</v>
      </c>
      <c r="H29" s="10">
        <v>31900000</v>
      </c>
      <c r="I29" s="19">
        <v>46224000</v>
      </c>
      <c r="J29" s="15">
        <v>12000000</v>
      </c>
      <c r="K29" s="15">
        <v>7200000</v>
      </c>
      <c r="L29" s="15">
        <v>40464000</v>
      </c>
      <c r="M29" s="38"/>
    </row>
    <row r="30" spans="1:13" ht="18" customHeight="1" x14ac:dyDescent="0.25">
      <c r="A30" s="8">
        <v>18</v>
      </c>
      <c r="B30" s="8" t="s">
        <v>140</v>
      </c>
      <c r="C30" s="8">
        <v>15</v>
      </c>
      <c r="D30" s="8">
        <v>90</v>
      </c>
      <c r="E30" s="8">
        <v>55</v>
      </c>
      <c r="F30" s="8">
        <v>132</v>
      </c>
      <c r="G30" s="9">
        <v>26600000</v>
      </c>
      <c r="H30" s="10">
        <v>31900000</v>
      </c>
      <c r="I30" s="19">
        <v>46224000</v>
      </c>
      <c r="J30" s="12">
        <v>12000000</v>
      </c>
      <c r="K30" s="12">
        <v>7200000</v>
      </c>
      <c r="L30" s="12">
        <v>40464000</v>
      </c>
      <c r="M30" s="38"/>
    </row>
    <row r="31" spans="1:13" ht="18" customHeight="1" x14ac:dyDescent="0.25">
      <c r="A31" s="14">
        <v>19</v>
      </c>
      <c r="B31" s="14" t="s">
        <v>141</v>
      </c>
      <c r="C31" s="14">
        <v>15</v>
      </c>
      <c r="D31" s="14">
        <v>90</v>
      </c>
      <c r="E31" s="14">
        <v>65</v>
      </c>
      <c r="F31" s="14">
        <v>112</v>
      </c>
      <c r="G31" s="9">
        <v>26600000</v>
      </c>
      <c r="H31" s="10">
        <v>31900000</v>
      </c>
      <c r="I31" s="19">
        <v>46224000</v>
      </c>
      <c r="J31" s="15">
        <v>12000000</v>
      </c>
      <c r="K31" s="15">
        <v>7200000</v>
      </c>
      <c r="L31" s="15">
        <v>40464000</v>
      </c>
      <c r="M31" s="38"/>
    </row>
    <row r="32" spans="1:13" ht="18" customHeight="1" x14ac:dyDescent="0.25">
      <c r="A32" s="14">
        <v>21</v>
      </c>
      <c r="B32" s="14" t="s">
        <v>142</v>
      </c>
      <c r="C32" s="14">
        <v>18.5</v>
      </c>
      <c r="D32" s="14">
        <v>90</v>
      </c>
      <c r="E32" s="14">
        <v>40</v>
      </c>
      <c r="F32" s="14">
        <v>249</v>
      </c>
      <c r="G32" s="9">
        <v>33700000</v>
      </c>
      <c r="H32" s="10">
        <v>40400000</v>
      </c>
      <c r="I32" s="19">
        <v>50500000</v>
      </c>
      <c r="J32" s="15">
        <v>13000000</v>
      </c>
      <c r="K32" s="15">
        <v>13500000</v>
      </c>
      <c r="L32" s="15">
        <v>44064000</v>
      </c>
      <c r="M32" s="38"/>
    </row>
    <row r="33" spans="1:13" ht="18" customHeight="1" x14ac:dyDescent="0.25">
      <c r="A33" s="8">
        <v>22</v>
      </c>
      <c r="B33" s="8" t="s">
        <v>143</v>
      </c>
      <c r="C33" s="8">
        <v>18.5</v>
      </c>
      <c r="D33" s="8">
        <v>90</v>
      </c>
      <c r="E33" s="8">
        <v>55</v>
      </c>
      <c r="F33" s="8">
        <v>158</v>
      </c>
      <c r="G33" s="9">
        <v>33700000</v>
      </c>
      <c r="H33" s="10">
        <v>40400000</v>
      </c>
      <c r="I33" s="19">
        <v>50500000</v>
      </c>
      <c r="J33" s="12">
        <v>13000000</v>
      </c>
      <c r="K33" s="12">
        <v>13500000</v>
      </c>
      <c r="L33" s="12">
        <v>44064000</v>
      </c>
      <c r="M33" s="38"/>
    </row>
    <row r="34" spans="1:13" ht="18" customHeight="1" x14ac:dyDescent="0.25">
      <c r="A34" s="8">
        <v>24</v>
      </c>
      <c r="B34" s="8" t="s">
        <v>144</v>
      </c>
      <c r="C34" s="8">
        <v>18.5</v>
      </c>
      <c r="D34" s="8">
        <v>90</v>
      </c>
      <c r="E34" s="8">
        <v>65</v>
      </c>
      <c r="F34" s="8">
        <v>140</v>
      </c>
      <c r="G34" s="9">
        <v>33700000</v>
      </c>
      <c r="H34" s="10">
        <v>40400000</v>
      </c>
      <c r="I34" s="19">
        <v>50500000</v>
      </c>
      <c r="J34" s="12">
        <v>13000000</v>
      </c>
      <c r="K34" s="12">
        <v>13500000</v>
      </c>
      <c r="L34" s="12">
        <v>44064000</v>
      </c>
      <c r="M34" s="38"/>
    </row>
    <row r="35" spans="1:13" ht="18" customHeight="1" x14ac:dyDescent="0.25">
      <c r="A35" s="14">
        <v>25</v>
      </c>
      <c r="B35" s="14" t="s">
        <v>145</v>
      </c>
      <c r="C35" s="14">
        <v>22</v>
      </c>
      <c r="D35" s="14">
        <v>90</v>
      </c>
      <c r="E35" s="14">
        <v>20</v>
      </c>
      <c r="F35" s="14">
        <v>352</v>
      </c>
      <c r="G35" s="9">
        <v>40900000</v>
      </c>
      <c r="H35" s="10">
        <v>49100000</v>
      </c>
      <c r="I35" s="19">
        <v>58300000</v>
      </c>
      <c r="J35" s="15">
        <v>17000000</v>
      </c>
      <c r="K35" s="15">
        <v>15000000</v>
      </c>
      <c r="L35" s="15">
        <v>48384000</v>
      </c>
      <c r="M35" s="38"/>
    </row>
    <row r="36" spans="1:13" ht="18" customHeight="1" x14ac:dyDescent="0.25">
      <c r="A36" s="8">
        <v>26</v>
      </c>
      <c r="B36" s="8" t="s">
        <v>146</v>
      </c>
      <c r="C36" s="8">
        <v>22</v>
      </c>
      <c r="D36" s="8">
        <v>90</v>
      </c>
      <c r="E36" s="8">
        <v>40</v>
      </c>
      <c r="F36" s="8">
        <v>302</v>
      </c>
      <c r="G36" s="9">
        <v>40900000</v>
      </c>
      <c r="H36" s="10">
        <v>49100000</v>
      </c>
      <c r="I36" s="19">
        <v>58300000</v>
      </c>
      <c r="J36" s="12">
        <v>17000000</v>
      </c>
      <c r="K36" s="12">
        <v>15000000</v>
      </c>
      <c r="L36" s="12">
        <v>48384000</v>
      </c>
      <c r="M36" s="38"/>
    </row>
    <row r="37" spans="1:13" ht="18" customHeight="1" x14ac:dyDescent="0.25">
      <c r="A37" s="14">
        <v>27</v>
      </c>
      <c r="B37" s="14" t="s">
        <v>147</v>
      </c>
      <c r="C37" s="14">
        <v>22</v>
      </c>
      <c r="D37" s="14">
        <v>90</v>
      </c>
      <c r="E37" s="14">
        <v>55</v>
      </c>
      <c r="F37" s="14">
        <v>185</v>
      </c>
      <c r="G37" s="9">
        <v>40900000</v>
      </c>
      <c r="H37" s="10">
        <v>49100000</v>
      </c>
      <c r="I37" s="19">
        <v>58300000</v>
      </c>
      <c r="J37" s="15">
        <v>17000000</v>
      </c>
      <c r="K37" s="15">
        <v>15000000</v>
      </c>
      <c r="L37" s="15">
        <v>48384000</v>
      </c>
      <c r="M37" s="38"/>
    </row>
    <row r="38" spans="1:13" ht="18" customHeight="1" x14ac:dyDescent="0.25">
      <c r="A38" s="14">
        <v>29</v>
      </c>
      <c r="B38" s="14" t="s">
        <v>148</v>
      </c>
      <c r="C38" s="14">
        <v>22</v>
      </c>
      <c r="D38" s="14">
        <v>90</v>
      </c>
      <c r="E38" s="14">
        <v>65</v>
      </c>
      <c r="F38" s="14">
        <v>168</v>
      </c>
      <c r="G38" s="9">
        <v>40900000</v>
      </c>
      <c r="H38" s="10">
        <v>49100000</v>
      </c>
      <c r="I38" s="19">
        <v>58300000</v>
      </c>
      <c r="J38" s="15">
        <v>17000000</v>
      </c>
      <c r="K38" s="15">
        <v>15000000</v>
      </c>
      <c r="L38" s="15">
        <v>48384000</v>
      </c>
      <c r="M38" s="38"/>
    </row>
    <row r="39" spans="1:13" ht="18" customHeight="1" x14ac:dyDescent="0.25">
      <c r="A39" s="8">
        <v>30</v>
      </c>
      <c r="B39" s="8" t="s">
        <v>149</v>
      </c>
      <c r="C39" s="8">
        <v>30</v>
      </c>
      <c r="D39" s="8">
        <v>90</v>
      </c>
      <c r="E39" s="8">
        <v>55</v>
      </c>
      <c r="F39" s="8">
        <v>238</v>
      </c>
      <c r="G39" s="9">
        <v>52100000</v>
      </c>
      <c r="H39" s="10">
        <v>62500000</v>
      </c>
      <c r="I39" s="19">
        <v>78800000</v>
      </c>
      <c r="J39" s="12">
        <v>19000000</v>
      </c>
      <c r="K39" s="12">
        <v>22500000</v>
      </c>
      <c r="L39" s="12">
        <v>57096000</v>
      </c>
      <c r="M39" s="38"/>
    </row>
    <row r="40" spans="1:13" ht="18" customHeight="1" x14ac:dyDescent="0.25">
      <c r="A40" s="14">
        <v>31</v>
      </c>
      <c r="B40" s="14" t="s">
        <v>150</v>
      </c>
      <c r="C40" s="14">
        <v>30</v>
      </c>
      <c r="D40" s="14">
        <v>90</v>
      </c>
      <c r="E40" s="14">
        <v>65</v>
      </c>
      <c r="F40" s="14">
        <v>224</v>
      </c>
      <c r="G40" s="9">
        <v>52100000</v>
      </c>
      <c r="H40" s="10">
        <v>62500000</v>
      </c>
      <c r="I40" s="19">
        <v>78800000</v>
      </c>
      <c r="J40" s="15">
        <v>19000000</v>
      </c>
      <c r="K40" s="15">
        <v>22500000</v>
      </c>
      <c r="L40" s="15">
        <v>57096000</v>
      </c>
      <c r="M40" s="38"/>
    </row>
    <row r="41" spans="1:13" ht="18" customHeight="1" x14ac:dyDescent="0.25">
      <c r="A41" s="8">
        <v>1</v>
      </c>
      <c r="B41" s="8" t="s">
        <v>151</v>
      </c>
      <c r="C41" s="8">
        <v>15</v>
      </c>
      <c r="D41" s="8"/>
      <c r="E41" s="8">
        <v>90</v>
      </c>
      <c r="F41" s="8">
        <v>79</v>
      </c>
      <c r="G41" s="9">
        <v>28100000</v>
      </c>
      <c r="H41" s="10">
        <v>33700000</v>
      </c>
      <c r="I41" s="19">
        <v>47952000</v>
      </c>
      <c r="J41" s="12">
        <v>12000000</v>
      </c>
      <c r="K41" s="12">
        <v>7200000</v>
      </c>
      <c r="L41" s="12">
        <v>41976000</v>
      </c>
      <c r="M41" s="39" t="s">
        <v>152</v>
      </c>
    </row>
    <row r="42" spans="1:13" ht="18" customHeight="1" x14ac:dyDescent="0.25">
      <c r="A42" s="14">
        <v>2</v>
      </c>
      <c r="B42" s="14" t="s">
        <v>153</v>
      </c>
      <c r="C42" s="14">
        <v>18.5</v>
      </c>
      <c r="D42" s="14"/>
      <c r="E42" s="14">
        <v>150</v>
      </c>
      <c r="F42" s="14">
        <v>66</v>
      </c>
      <c r="G42" s="9">
        <v>33700000</v>
      </c>
      <c r="H42" s="10">
        <v>40400000</v>
      </c>
      <c r="I42" s="19">
        <v>50500000</v>
      </c>
      <c r="J42" s="15">
        <v>13000000</v>
      </c>
      <c r="K42" s="15">
        <v>13500000</v>
      </c>
      <c r="L42" s="15">
        <v>44064000</v>
      </c>
      <c r="M42" s="39"/>
    </row>
    <row r="43" spans="1:13" ht="18" customHeight="1" x14ac:dyDescent="0.25">
      <c r="A43" s="8">
        <v>3</v>
      </c>
      <c r="B43" s="8" t="s">
        <v>154</v>
      </c>
      <c r="C43" s="8">
        <v>18.5</v>
      </c>
      <c r="D43" s="8"/>
      <c r="E43" s="8">
        <v>90</v>
      </c>
      <c r="F43" s="8">
        <v>99</v>
      </c>
      <c r="G43" s="9">
        <v>33700000</v>
      </c>
      <c r="H43" s="10">
        <v>40400000</v>
      </c>
      <c r="I43" s="19">
        <v>50500000</v>
      </c>
      <c r="J43" s="12">
        <v>13000000</v>
      </c>
      <c r="K43" s="12">
        <v>13500000</v>
      </c>
      <c r="L43" s="12">
        <v>44064000</v>
      </c>
      <c r="M43" s="39"/>
    </row>
    <row r="44" spans="1:13" ht="18" customHeight="1" x14ac:dyDescent="0.25">
      <c r="A44" s="14">
        <v>4</v>
      </c>
      <c r="B44" s="14" t="s">
        <v>155</v>
      </c>
      <c r="C44" s="14">
        <v>18.5</v>
      </c>
      <c r="D44" s="14"/>
      <c r="E44" s="14">
        <v>110</v>
      </c>
      <c r="F44" s="14">
        <v>82</v>
      </c>
      <c r="G44" s="9">
        <v>33700000</v>
      </c>
      <c r="H44" s="10">
        <v>40400000</v>
      </c>
      <c r="I44" s="19">
        <v>50500000</v>
      </c>
      <c r="J44" s="15">
        <v>13000000</v>
      </c>
      <c r="K44" s="15">
        <v>13500000</v>
      </c>
      <c r="L44" s="15">
        <v>44064000</v>
      </c>
      <c r="M44" s="39"/>
    </row>
    <row r="45" spans="1:13" ht="18" customHeight="1" x14ac:dyDescent="0.25">
      <c r="A45" s="8">
        <v>5</v>
      </c>
      <c r="B45" s="8" t="s">
        <v>156</v>
      </c>
      <c r="C45" s="8">
        <v>22</v>
      </c>
      <c r="D45" s="8"/>
      <c r="E45" s="8">
        <v>150</v>
      </c>
      <c r="F45" s="8">
        <v>88</v>
      </c>
      <c r="G45" s="9">
        <v>38300000</v>
      </c>
      <c r="H45" s="10">
        <v>46000000</v>
      </c>
      <c r="I45" s="19">
        <v>58300000</v>
      </c>
      <c r="J45" s="12">
        <v>15000000</v>
      </c>
      <c r="K45" s="12">
        <v>15000000</v>
      </c>
      <c r="L45" s="12">
        <v>48384000</v>
      </c>
      <c r="M45" s="39"/>
    </row>
    <row r="46" spans="1:13" ht="18" customHeight="1" x14ac:dyDescent="0.25">
      <c r="A46" s="14">
        <v>6</v>
      </c>
      <c r="B46" s="14" t="s">
        <v>157</v>
      </c>
      <c r="C46" s="14">
        <v>22</v>
      </c>
      <c r="D46" s="14"/>
      <c r="E46" s="14">
        <v>90</v>
      </c>
      <c r="F46" s="14">
        <v>119</v>
      </c>
      <c r="G46" s="9">
        <v>38300000</v>
      </c>
      <c r="H46" s="10">
        <v>46000000</v>
      </c>
      <c r="I46" s="19">
        <v>58300000</v>
      </c>
      <c r="J46" s="15">
        <v>15000000</v>
      </c>
      <c r="K46" s="15">
        <v>15000000</v>
      </c>
      <c r="L46" s="15">
        <v>48384000</v>
      </c>
      <c r="M46" s="39"/>
    </row>
    <row r="47" spans="1:13" ht="18" customHeight="1" x14ac:dyDescent="0.25">
      <c r="A47" s="8">
        <v>7</v>
      </c>
      <c r="B47" s="8" t="s">
        <v>158</v>
      </c>
      <c r="C47" s="8">
        <v>22</v>
      </c>
      <c r="D47" s="8"/>
      <c r="E47" s="8">
        <v>110</v>
      </c>
      <c r="F47" s="8">
        <v>102</v>
      </c>
      <c r="G47" s="9">
        <v>38300000</v>
      </c>
      <c r="H47" s="10">
        <v>46000000</v>
      </c>
      <c r="I47" s="19">
        <v>58300000</v>
      </c>
      <c r="J47" s="12">
        <v>15000000</v>
      </c>
      <c r="K47" s="12">
        <v>15000000</v>
      </c>
      <c r="L47" s="12">
        <v>48384000</v>
      </c>
      <c r="M47" s="39"/>
    </row>
    <row r="48" spans="1:13" ht="18" customHeight="1" x14ac:dyDescent="0.25">
      <c r="A48" s="14">
        <v>8</v>
      </c>
      <c r="B48" s="14" t="s">
        <v>159</v>
      </c>
      <c r="C48" s="14">
        <v>30</v>
      </c>
      <c r="D48" s="14"/>
      <c r="E48" s="14">
        <v>150</v>
      </c>
      <c r="F48" s="14">
        <v>110</v>
      </c>
      <c r="G48" s="9">
        <v>52100000</v>
      </c>
      <c r="H48" s="10">
        <v>62500000</v>
      </c>
      <c r="I48" s="19">
        <v>78800000</v>
      </c>
      <c r="J48" s="15">
        <v>19000000</v>
      </c>
      <c r="K48" s="15">
        <v>22500000</v>
      </c>
      <c r="L48" s="15">
        <v>57096000</v>
      </c>
      <c r="M48" s="39"/>
    </row>
    <row r="49" spans="1:13" ht="18" customHeight="1" x14ac:dyDescent="0.25">
      <c r="A49" s="8">
        <v>9</v>
      </c>
      <c r="B49" s="8" t="s">
        <v>160</v>
      </c>
      <c r="C49" s="8">
        <v>30</v>
      </c>
      <c r="D49" s="8"/>
      <c r="E49" s="8">
        <v>90</v>
      </c>
      <c r="F49" s="8">
        <v>159</v>
      </c>
      <c r="G49" s="9">
        <v>52100000</v>
      </c>
      <c r="H49" s="10">
        <v>62500000</v>
      </c>
      <c r="I49" s="19">
        <v>78800000</v>
      </c>
      <c r="J49" s="12">
        <v>19000000</v>
      </c>
      <c r="K49" s="12">
        <v>22500000</v>
      </c>
      <c r="L49" s="12">
        <v>57096000</v>
      </c>
      <c r="M49" s="39"/>
    </row>
    <row r="50" spans="1:13" ht="18" customHeight="1" x14ac:dyDescent="0.25">
      <c r="A50" s="14">
        <v>10</v>
      </c>
      <c r="B50" s="14" t="s">
        <v>161</v>
      </c>
      <c r="C50" s="14">
        <v>37</v>
      </c>
      <c r="D50" s="14"/>
      <c r="E50" s="14">
        <v>150</v>
      </c>
      <c r="F50" s="14">
        <v>132</v>
      </c>
      <c r="G50" s="9">
        <v>68100000</v>
      </c>
      <c r="H50" s="10">
        <v>81700000</v>
      </c>
      <c r="I50" s="19">
        <v>95500000</v>
      </c>
      <c r="J50" s="14"/>
      <c r="K50" s="14"/>
      <c r="L50" s="14"/>
      <c r="M50" s="39"/>
    </row>
    <row r="51" spans="1:13" ht="18" customHeight="1" x14ac:dyDescent="0.25">
      <c r="A51" s="8">
        <v>11</v>
      </c>
      <c r="B51" s="8" t="s">
        <v>162</v>
      </c>
      <c r="C51" s="8">
        <v>37</v>
      </c>
      <c r="D51" s="8"/>
      <c r="E51" s="8">
        <v>90</v>
      </c>
      <c r="F51" s="8">
        <v>198</v>
      </c>
      <c r="G51" s="9">
        <v>68100000</v>
      </c>
      <c r="H51" s="10">
        <v>81700000</v>
      </c>
      <c r="I51" s="19">
        <v>95500000</v>
      </c>
      <c r="J51" s="8"/>
      <c r="K51" s="8"/>
      <c r="L51" s="8"/>
      <c r="M51" s="39"/>
    </row>
    <row r="52" spans="1:13" ht="18" customHeight="1" x14ac:dyDescent="0.25">
      <c r="A52" s="14">
        <v>12</v>
      </c>
      <c r="B52" s="14" t="s">
        <v>163</v>
      </c>
      <c r="C52" s="14">
        <v>37</v>
      </c>
      <c r="D52" s="14"/>
      <c r="E52" s="14">
        <v>110</v>
      </c>
      <c r="F52" s="14">
        <v>163</v>
      </c>
      <c r="G52" s="9">
        <v>68100000</v>
      </c>
      <c r="H52" s="10">
        <v>81700000</v>
      </c>
      <c r="I52" s="19">
        <v>95500000</v>
      </c>
      <c r="J52" s="14"/>
      <c r="K52" s="14"/>
      <c r="L52" s="14"/>
      <c r="M52" s="39"/>
    </row>
    <row r="53" spans="1:13" ht="18" customHeight="1" x14ac:dyDescent="0.25">
      <c r="A53" s="8">
        <v>13</v>
      </c>
      <c r="B53" s="8" t="s">
        <v>164</v>
      </c>
      <c r="C53" s="8">
        <v>45</v>
      </c>
      <c r="D53" s="8"/>
      <c r="E53" s="8">
        <v>150</v>
      </c>
      <c r="F53" s="8">
        <v>154</v>
      </c>
      <c r="G53" s="8"/>
      <c r="H53" s="8"/>
      <c r="I53" s="8"/>
      <c r="J53" s="8"/>
      <c r="K53" s="8"/>
      <c r="L53" s="8"/>
      <c r="M53" s="39"/>
    </row>
    <row r="54" spans="1:13" ht="18" customHeight="1" x14ac:dyDescent="0.25">
      <c r="A54" s="14">
        <v>14</v>
      </c>
      <c r="B54" s="14" t="s">
        <v>165</v>
      </c>
      <c r="C54" s="14">
        <v>45</v>
      </c>
      <c r="D54" s="14"/>
      <c r="E54" s="14">
        <v>90</v>
      </c>
      <c r="F54" s="14">
        <v>238</v>
      </c>
      <c r="G54" s="14"/>
      <c r="H54" s="14"/>
      <c r="I54" s="14"/>
      <c r="J54" s="14"/>
      <c r="K54" s="14"/>
      <c r="L54" s="14"/>
      <c r="M54" s="39"/>
    </row>
    <row r="55" spans="1:13" ht="18" customHeight="1" x14ac:dyDescent="0.25">
      <c r="A55" s="8">
        <v>15</v>
      </c>
      <c r="B55" s="8" t="s">
        <v>166</v>
      </c>
      <c r="C55" s="8">
        <v>45</v>
      </c>
      <c r="D55" s="8"/>
      <c r="E55" s="8">
        <v>110</v>
      </c>
      <c r="F55" s="8">
        <v>204</v>
      </c>
      <c r="G55" s="8"/>
      <c r="H55" s="8"/>
      <c r="I55" s="8"/>
      <c r="J55" s="8"/>
      <c r="K55" s="8"/>
      <c r="L55" s="8"/>
      <c r="M55" s="39"/>
    </row>
    <row r="56" spans="1:13" ht="18" customHeight="1" x14ac:dyDescent="0.25">
      <c r="A56" s="14">
        <v>16</v>
      </c>
      <c r="B56" s="14" t="s">
        <v>167</v>
      </c>
      <c r="C56" s="14">
        <v>55</v>
      </c>
      <c r="D56" s="14"/>
      <c r="E56" s="14">
        <v>150</v>
      </c>
      <c r="F56" s="14">
        <v>176</v>
      </c>
      <c r="G56" s="14"/>
      <c r="H56" s="14"/>
      <c r="I56" s="14"/>
      <c r="J56" s="14"/>
      <c r="K56" s="14"/>
      <c r="L56" s="14"/>
      <c r="M56" s="39"/>
    </row>
    <row r="57" spans="1:13" ht="18" customHeight="1" x14ac:dyDescent="0.25">
      <c r="A57" s="8">
        <v>17</v>
      </c>
      <c r="B57" s="8" t="s">
        <v>168</v>
      </c>
      <c r="C57" s="8">
        <v>55</v>
      </c>
      <c r="D57" s="8"/>
      <c r="E57" s="8">
        <v>150</v>
      </c>
      <c r="F57" s="8">
        <v>198</v>
      </c>
      <c r="G57" s="8"/>
      <c r="H57" s="8"/>
      <c r="I57" s="8"/>
      <c r="J57" s="8"/>
      <c r="K57" s="8"/>
      <c r="L57" s="8"/>
      <c r="M57" s="39"/>
    </row>
    <row r="58" spans="1:13" ht="18" customHeight="1" x14ac:dyDescent="0.25">
      <c r="A58" s="14">
        <v>18</v>
      </c>
      <c r="B58" s="14" t="s">
        <v>169</v>
      </c>
      <c r="C58" s="14">
        <v>55</v>
      </c>
      <c r="D58" s="14"/>
      <c r="E58" s="14">
        <v>90</v>
      </c>
      <c r="F58" s="14">
        <v>297</v>
      </c>
      <c r="G58" s="14"/>
      <c r="H58" s="14"/>
      <c r="I58" s="14"/>
      <c r="J58" s="14"/>
      <c r="K58" s="14"/>
      <c r="L58" s="14"/>
      <c r="M58" s="39"/>
    </row>
    <row r="59" spans="1:13" ht="18" customHeight="1" x14ac:dyDescent="0.25">
      <c r="A59" s="8">
        <v>19</v>
      </c>
      <c r="B59" s="8" t="s">
        <v>170</v>
      </c>
      <c r="C59" s="8">
        <v>55</v>
      </c>
      <c r="D59" s="8"/>
      <c r="E59" s="8">
        <v>110</v>
      </c>
      <c r="F59" s="8">
        <v>225</v>
      </c>
      <c r="G59" s="8"/>
      <c r="H59" s="8"/>
      <c r="I59" s="8"/>
      <c r="J59" s="8"/>
      <c r="K59" s="8"/>
      <c r="L59" s="8"/>
      <c r="M59" s="39"/>
    </row>
    <row r="60" spans="1:13" ht="18" customHeight="1" x14ac:dyDescent="0.25">
      <c r="A60" s="14">
        <v>20</v>
      </c>
      <c r="B60" s="14" t="s">
        <v>171</v>
      </c>
      <c r="C60" s="14">
        <v>55</v>
      </c>
      <c r="D60" s="14"/>
      <c r="E60" s="14">
        <v>110</v>
      </c>
      <c r="F60" s="14">
        <v>246</v>
      </c>
      <c r="G60" s="14"/>
      <c r="H60" s="14"/>
      <c r="I60" s="14"/>
      <c r="J60" s="14"/>
      <c r="K60" s="14"/>
      <c r="L60" s="14"/>
      <c r="M60" s="39"/>
    </row>
    <row r="61" spans="1:13" ht="18" customHeight="1" x14ac:dyDescent="0.25">
      <c r="A61" s="8">
        <v>21</v>
      </c>
      <c r="B61" s="8" t="s">
        <v>172</v>
      </c>
      <c r="C61" s="8">
        <v>63</v>
      </c>
      <c r="D61" s="8"/>
      <c r="E61" s="8">
        <v>150</v>
      </c>
      <c r="F61" s="8">
        <v>220</v>
      </c>
      <c r="G61" s="8"/>
      <c r="H61" s="8"/>
      <c r="I61" s="8"/>
      <c r="J61" s="8"/>
      <c r="K61" s="8"/>
      <c r="L61" s="8"/>
      <c r="M61" s="39"/>
    </row>
    <row r="62" spans="1:13" ht="18" customHeight="1" x14ac:dyDescent="0.25">
      <c r="A62" s="14">
        <v>22</v>
      </c>
      <c r="B62" s="14" t="s">
        <v>173</v>
      </c>
      <c r="C62" s="14">
        <v>63</v>
      </c>
      <c r="D62" s="14"/>
      <c r="E62" s="14">
        <v>90</v>
      </c>
      <c r="F62" s="14">
        <v>337</v>
      </c>
      <c r="G62" s="14"/>
      <c r="H62" s="14"/>
      <c r="I62" s="14"/>
      <c r="J62" s="14"/>
      <c r="K62" s="14"/>
      <c r="L62" s="14"/>
      <c r="M62" s="39"/>
    </row>
    <row r="63" spans="1:13" ht="18" customHeight="1" x14ac:dyDescent="0.25">
      <c r="A63" s="8">
        <v>23</v>
      </c>
      <c r="B63" s="8" t="s">
        <v>174</v>
      </c>
      <c r="C63" s="8">
        <v>63</v>
      </c>
      <c r="D63" s="8"/>
      <c r="E63" s="8">
        <v>110</v>
      </c>
      <c r="F63" s="8">
        <v>285</v>
      </c>
      <c r="G63" s="8"/>
      <c r="H63" s="8"/>
      <c r="I63" s="8"/>
      <c r="J63" s="8"/>
      <c r="K63" s="8"/>
      <c r="L63" s="8"/>
      <c r="M63" s="39"/>
    </row>
    <row r="64" spans="1:13" ht="18" customHeight="1" x14ac:dyDescent="0.25">
      <c r="A64" s="14">
        <v>24</v>
      </c>
      <c r="B64" s="14" t="s">
        <v>175</v>
      </c>
      <c r="C64" s="14">
        <v>75</v>
      </c>
      <c r="D64" s="14"/>
      <c r="E64" s="14">
        <v>90</v>
      </c>
      <c r="F64" s="14">
        <v>397</v>
      </c>
      <c r="G64" s="14"/>
      <c r="H64" s="14"/>
      <c r="I64" s="14"/>
      <c r="J64" s="14"/>
      <c r="K64" s="14"/>
      <c r="L64" s="14"/>
      <c r="M64" s="39"/>
    </row>
    <row r="65" spans="1:13" ht="18" customHeight="1" x14ac:dyDescent="0.25">
      <c r="A65" s="8">
        <v>25</v>
      </c>
      <c r="B65" s="8" t="s">
        <v>176</v>
      </c>
      <c r="C65" s="8">
        <v>75</v>
      </c>
      <c r="D65" s="8"/>
      <c r="E65" s="8">
        <v>110</v>
      </c>
      <c r="F65" s="8">
        <v>326</v>
      </c>
      <c r="G65" s="8"/>
      <c r="H65" s="8"/>
      <c r="I65" s="8"/>
      <c r="J65" s="8"/>
      <c r="K65" s="8"/>
      <c r="L65" s="8"/>
      <c r="M65" s="39"/>
    </row>
    <row r="66" spans="1:13" ht="18" customHeight="1" x14ac:dyDescent="0.25">
      <c r="A66" s="14">
        <v>26</v>
      </c>
      <c r="B66" s="14" t="s">
        <v>177</v>
      </c>
      <c r="C66" s="14">
        <v>93</v>
      </c>
      <c r="D66" s="14"/>
      <c r="E66" s="14">
        <v>110</v>
      </c>
      <c r="F66" s="14">
        <v>408</v>
      </c>
      <c r="G66" s="14"/>
      <c r="H66" s="14"/>
      <c r="I66" s="14"/>
      <c r="J66" s="14"/>
      <c r="K66" s="14"/>
      <c r="L66" s="14"/>
      <c r="M66" s="39"/>
    </row>
    <row r="67" spans="1:13" ht="18" customHeight="1" x14ac:dyDescent="0.25">
      <c r="A67" s="14">
        <v>2</v>
      </c>
      <c r="B67" s="14" t="s">
        <v>178</v>
      </c>
      <c r="C67" s="14">
        <v>30</v>
      </c>
      <c r="D67" s="14"/>
      <c r="E67" s="14">
        <v>160</v>
      </c>
      <c r="F67" s="14">
        <v>87</v>
      </c>
      <c r="G67" s="9">
        <v>52100000</v>
      </c>
      <c r="H67" s="10">
        <v>62500000</v>
      </c>
      <c r="I67" s="19">
        <v>78800000</v>
      </c>
      <c r="J67" s="14"/>
      <c r="K67" s="14"/>
      <c r="L67" s="14"/>
      <c r="M67" s="39"/>
    </row>
    <row r="68" spans="1:13" ht="18" customHeight="1" x14ac:dyDescent="0.25">
      <c r="A68" s="8">
        <v>3</v>
      </c>
      <c r="B68" s="8" t="s">
        <v>179</v>
      </c>
      <c r="C68" s="8">
        <v>37</v>
      </c>
      <c r="D68" s="8"/>
      <c r="E68" s="8">
        <v>160</v>
      </c>
      <c r="F68" s="8">
        <v>115</v>
      </c>
      <c r="G68" s="9">
        <v>68100000</v>
      </c>
      <c r="H68" s="10">
        <v>81700000</v>
      </c>
      <c r="I68" s="19">
        <v>95500000</v>
      </c>
      <c r="J68" s="8"/>
      <c r="K68" s="8"/>
      <c r="L68" s="8"/>
      <c r="M68" s="39"/>
    </row>
    <row r="69" spans="1:13" ht="18" customHeight="1" x14ac:dyDescent="0.25">
      <c r="A69" s="14">
        <v>4</v>
      </c>
      <c r="B69" s="14" t="s">
        <v>180</v>
      </c>
      <c r="C69" s="14">
        <v>37</v>
      </c>
      <c r="D69" s="14"/>
      <c r="E69" s="14">
        <v>180</v>
      </c>
      <c r="F69" s="14">
        <v>99</v>
      </c>
      <c r="G69" s="9">
        <v>68100000</v>
      </c>
      <c r="H69" s="10">
        <v>81700000</v>
      </c>
      <c r="I69" s="19">
        <v>95500000</v>
      </c>
      <c r="J69" s="14"/>
      <c r="K69" s="14"/>
      <c r="L69" s="14"/>
      <c r="M69" s="39"/>
    </row>
    <row r="70" spans="1:13" ht="18" customHeight="1" x14ac:dyDescent="0.25">
      <c r="A70" s="8">
        <v>5</v>
      </c>
      <c r="B70" s="8" t="s">
        <v>181</v>
      </c>
      <c r="C70" s="8">
        <v>55</v>
      </c>
      <c r="D70" s="8"/>
      <c r="E70" s="8">
        <v>160</v>
      </c>
      <c r="F70" s="8">
        <v>146</v>
      </c>
      <c r="G70" s="8"/>
      <c r="H70" s="8"/>
      <c r="I70" s="8"/>
      <c r="J70" s="8"/>
      <c r="K70" s="8"/>
      <c r="L70" s="8"/>
      <c r="M70" s="39"/>
    </row>
    <row r="71" spans="1:13" ht="18" customHeight="1" x14ac:dyDescent="0.25">
      <c r="A71" s="14">
        <v>6</v>
      </c>
      <c r="B71" s="14" t="s">
        <v>182</v>
      </c>
      <c r="C71" s="14">
        <v>55</v>
      </c>
      <c r="D71" s="14"/>
      <c r="E71" s="14">
        <v>180</v>
      </c>
      <c r="F71" s="14">
        <v>132</v>
      </c>
      <c r="G71" s="14"/>
      <c r="H71" s="14"/>
      <c r="I71" s="14"/>
      <c r="J71" s="14"/>
      <c r="K71" s="14"/>
      <c r="L71" s="14"/>
      <c r="M71" s="39"/>
    </row>
    <row r="72" spans="1:13" ht="18" customHeight="1" x14ac:dyDescent="0.25">
      <c r="A72" s="8">
        <v>7</v>
      </c>
      <c r="B72" s="8" t="s">
        <v>183</v>
      </c>
      <c r="C72" s="8">
        <v>63</v>
      </c>
      <c r="D72" s="8"/>
      <c r="E72" s="8">
        <v>160</v>
      </c>
      <c r="F72" s="8">
        <v>178</v>
      </c>
      <c r="G72" s="8"/>
      <c r="H72" s="8"/>
      <c r="I72" s="8"/>
      <c r="J72" s="8"/>
      <c r="K72" s="8"/>
      <c r="L72" s="8"/>
      <c r="M72" s="39"/>
    </row>
    <row r="73" spans="1:13" ht="18" customHeight="1" x14ac:dyDescent="0.25">
      <c r="A73" s="14">
        <v>8</v>
      </c>
      <c r="B73" s="14" t="s">
        <v>184</v>
      </c>
      <c r="C73" s="14">
        <v>63</v>
      </c>
      <c r="D73" s="14"/>
      <c r="E73" s="14">
        <v>180</v>
      </c>
      <c r="F73" s="14">
        <v>160</v>
      </c>
      <c r="G73" s="14"/>
      <c r="H73" s="14"/>
      <c r="I73" s="14"/>
      <c r="J73" s="14"/>
      <c r="K73" s="14"/>
      <c r="L73" s="14"/>
      <c r="M73" s="39"/>
    </row>
    <row r="74" spans="1:13" ht="18" customHeight="1" x14ac:dyDescent="0.25">
      <c r="A74" s="8">
        <v>9</v>
      </c>
      <c r="B74" s="8" t="s">
        <v>185</v>
      </c>
      <c r="C74" s="8">
        <v>75</v>
      </c>
      <c r="D74" s="8"/>
      <c r="E74" s="8">
        <v>160</v>
      </c>
      <c r="F74" s="8">
        <v>208</v>
      </c>
      <c r="G74" s="8"/>
      <c r="H74" s="8"/>
      <c r="I74" s="8"/>
      <c r="J74" s="8"/>
      <c r="K74" s="8"/>
      <c r="L74" s="8"/>
      <c r="M74" s="39"/>
    </row>
    <row r="75" spans="1:13" ht="18" customHeight="1" x14ac:dyDescent="0.25">
      <c r="A75" s="14">
        <v>10</v>
      </c>
      <c r="B75" s="14" t="s">
        <v>186</v>
      </c>
      <c r="C75" s="14">
        <v>75</v>
      </c>
      <c r="D75" s="14"/>
      <c r="E75" s="14">
        <v>180</v>
      </c>
      <c r="F75" s="14">
        <v>198</v>
      </c>
      <c r="G75" s="14"/>
      <c r="H75" s="14"/>
      <c r="I75" s="14"/>
      <c r="J75" s="14"/>
      <c r="K75" s="14"/>
      <c r="L75" s="14"/>
      <c r="M75" s="39"/>
    </row>
    <row r="76" spans="1:13" ht="18" customHeight="1" x14ac:dyDescent="0.25">
      <c r="A76" s="8">
        <v>11</v>
      </c>
      <c r="B76" s="8" t="s">
        <v>187</v>
      </c>
      <c r="C76" s="8">
        <v>93</v>
      </c>
      <c r="D76" s="8"/>
      <c r="E76" s="8">
        <v>160</v>
      </c>
      <c r="F76" s="8">
        <v>235</v>
      </c>
      <c r="G76" s="8"/>
      <c r="H76" s="8"/>
      <c r="I76" s="8"/>
      <c r="J76" s="8"/>
      <c r="K76" s="8"/>
      <c r="L76" s="8"/>
      <c r="M76" s="39"/>
    </row>
    <row r="77" spans="1:13" ht="18" customHeight="1" x14ac:dyDescent="0.25">
      <c r="A77" s="14">
        <v>12</v>
      </c>
      <c r="B77" s="14" t="s">
        <v>188</v>
      </c>
      <c r="C77" s="14">
        <v>93</v>
      </c>
      <c r="D77" s="14"/>
      <c r="E77" s="14">
        <v>160</v>
      </c>
      <c r="F77" s="14">
        <v>264</v>
      </c>
      <c r="G77" s="14"/>
      <c r="H77" s="14"/>
      <c r="I77" s="14"/>
      <c r="J77" s="14"/>
      <c r="K77" s="14"/>
      <c r="L77" s="14"/>
      <c r="M77" s="39"/>
    </row>
    <row r="78" spans="1:13" ht="18" customHeight="1" x14ac:dyDescent="0.25">
      <c r="A78" s="8">
        <v>13</v>
      </c>
      <c r="B78" s="8" t="s">
        <v>189</v>
      </c>
      <c r="C78" s="8">
        <v>93</v>
      </c>
      <c r="D78" s="8"/>
      <c r="E78" s="8">
        <v>180</v>
      </c>
      <c r="F78" s="8">
        <v>231</v>
      </c>
      <c r="G78" s="8"/>
      <c r="H78" s="8"/>
      <c r="I78" s="8"/>
      <c r="J78" s="8"/>
      <c r="K78" s="8"/>
      <c r="L78" s="8"/>
      <c r="M78" s="39"/>
    </row>
    <row r="79" spans="1:13" ht="18" customHeight="1" x14ac:dyDescent="0.25">
      <c r="A79" s="14">
        <v>14</v>
      </c>
      <c r="B79" s="14" t="s">
        <v>190</v>
      </c>
      <c r="C79" s="14">
        <v>93</v>
      </c>
      <c r="D79" s="14"/>
      <c r="E79" s="14">
        <v>180</v>
      </c>
      <c r="F79" s="14">
        <v>264</v>
      </c>
      <c r="G79" s="14"/>
      <c r="H79" s="14"/>
      <c r="I79" s="14"/>
      <c r="J79" s="14"/>
      <c r="K79" s="14"/>
      <c r="L79" s="14"/>
      <c r="M79" s="39"/>
    </row>
    <row r="80" spans="1:13" ht="18" customHeight="1" x14ac:dyDescent="0.25">
      <c r="A80" s="8">
        <v>15</v>
      </c>
      <c r="B80" s="8" t="s">
        <v>191</v>
      </c>
      <c r="C80" s="8">
        <v>110</v>
      </c>
      <c r="D80" s="8"/>
      <c r="E80" s="8">
        <v>180</v>
      </c>
      <c r="F80" s="8">
        <v>297</v>
      </c>
      <c r="G80" s="8"/>
      <c r="H80" s="8"/>
      <c r="I80" s="8"/>
      <c r="J80" s="8"/>
      <c r="K80" s="8"/>
      <c r="L80" s="8"/>
      <c r="M80" s="39"/>
    </row>
  </sheetData>
  <mergeCells count="5">
    <mergeCell ref="M2:M16"/>
    <mergeCell ref="M17:M18"/>
    <mergeCell ref="M19:M40"/>
    <mergeCell ref="M41:M66"/>
    <mergeCell ref="M67:M8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2"/>
  <sheetViews>
    <sheetView tabSelected="1" zoomScaleNormal="100" workbookViewId="0">
      <pane ySplit="1" topLeftCell="A54" activePane="bottomLeft" state="frozen"/>
      <selection pane="bottomLeft" activeCell="N70" sqref="N70"/>
    </sheetView>
  </sheetViews>
  <sheetFormatPr defaultColWidth="8.7109375" defaultRowHeight="15" x14ac:dyDescent="0.25"/>
  <cols>
    <col min="1" max="1" width="5" style="1" customWidth="1"/>
    <col min="2" max="2" width="24" style="1" customWidth="1"/>
    <col min="3" max="4" width="12" style="1" customWidth="1"/>
    <col min="5" max="5" width="13" style="1" customWidth="1"/>
    <col min="6" max="6" width="11" style="1" customWidth="1"/>
    <col min="7" max="13" width="13" style="1" customWidth="1"/>
  </cols>
  <sheetData>
    <row r="1" spans="1:13" ht="30" customHeight="1" x14ac:dyDescent="0.25">
      <c r="A1" s="2" t="s">
        <v>0</v>
      </c>
      <c r="B1" s="2" t="s">
        <v>1</v>
      </c>
      <c r="C1" s="2" t="s">
        <v>2</v>
      </c>
      <c r="D1" s="2" t="s">
        <v>192</v>
      </c>
      <c r="E1" s="2" t="s">
        <v>193</v>
      </c>
      <c r="F1" s="2" t="s">
        <v>194</v>
      </c>
      <c r="G1" s="3" t="s">
        <v>6</v>
      </c>
      <c r="H1" s="4" t="s">
        <v>7</v>
      </c>
      <c r="I1" s="5" t="s">
        <v>8</v>
      </c>
      <c r="J1" s="6" t="s">
        <v>195</v>
      </c>
      <c r="K1" s="6" t="s">
        <v>196</v>
      </c>
      <c r="L1" s="6" t="s">
        <v>197</v>
      </c>
      <c r="M1" s="2" t="s">
        <v>13</v>
      </c>
    </row>
    <row r="2" spans="1:13" ht="18" customHeight="1" x14ac:dyDescent="0.25">
      <c r="A2" s="8">
        <v>1</v>
      </c>
      <c r="B2" s="8" t="s">
        <v>198</v>
      </c>
      <c r="C2" s="8">
        <v>0.15</v>
      </c>
      <c r="D2" s="8">
        <v>32</v>
      </c>
      <c r="E2" s="8">
        <v>7</v>
      </c>
      <c r="F2" s="8">
        <v>6</v>
      </c>
      <c r="G2" s="9">
        <v>1400000</v>
      </c>
      <c r="H2" s="10">
        <v>1700000</v>
      </c>
      <c r="I2" s="19">
        <v>2400000</v>
      </c>
      <c r="J2" s="12">
        <v>1050000</v>
      </c>
      <c r="K2" s="8"/>
      <c r="L2" s="8"/>
      <c r="M2" s="39" t="s">
        <v>199</v>
      </c>
    </row>
    <row r="3" spans="1:13" ht="18" customHeight="1" x14ac:dyDescent="0.25">
      <c r="A3" s="14">
        <v>2</v>
      </c>
      <c r="B3" s="14" t="s">
        <v>200</v>
      </c>
      <c r="C3" s="14">
        <v>0.18</v>
      </c>
      <c r="D3" s="14">
        <v>32</v>
      </c>
      <c r="E3" s="14">
        <v>8</v>
      </c>
      <c r="F3" s="14">
        <v>7</v>
      </c>
      <c r="G3" s="9">
        <v>1450000</v>
      </c>
      <c r="H3" s="10">
        <v>1750000</v>
      </c>
      <c r="I3" s="19">
        <v>2500000</v>
      </c>
      <c r="J3" s="15">
        <v>1050000</v>
      </c>
      <c r="K3" s="14"/>
      <c r="L3" s="14"/>
      <c r="M3" s="39"/>
    </row>
    <row r="4" spans="1:13" ht="18" customHeight="1" x14ac:dyDescent="0.25">
      <c r="A4" s="8">
        <v>3</v>
      </c>
      <c r="B4" s="8" t="s">
        <v>201</v>
      </c>
      <c r="C4" s="8">
        <v>0.25</v>
      </c>
      <c r="D4" s="8">
        <v>32</v>
      </c>
      <c r="E4" s="8">
        <v>9</v>
      </c>
      <c r="F4" s="8">
        <v>7</v>
      </c>
      <c r="G4" s="9">
        <v>1500000</v>
      </c>
      <c r="H4" s="10">
        <v>1800000</v>
      </c>
      <c r="I4" s="19">
        <v>2600000</v>
      </c>
      <c r="J4" s="12">
        <v>1050000</v>
      </c>
      <c r="K4" s="8"/>
      <c r="L4" s="8"/>
      <c r="M4" s="39"/>
    </row>
    <row r="5" spans="1:13" ht="18" customHeight="1" x14ac:dyDescent="0.25">
      <c r="A5" s="14">
        <v>4</v>
      </c>
      <c r="B5" s="14" t="s">
        <v>202</v>
      </c>
      <c r="C5" s="14">
        <v>0.37</v>
      </c>
      <c r="D5" s="14">
        <v>32</v>
      </c>
      <c r="E5" s="14">
        <v>10</v>
      </c>
      <c r="F5" s="14">
        <v>7</v>
      </c>
      <c r="G5" s="9">
        <v>1600000</v>
      </c>
      <c r="H5" s="10">
        <v>2000000</v>
      </c>
      <c r="I5" s="19">
        <v>2800000</v>
      </c>
      <c r="J5" s="15">
        <v>1050000</v>
      </c>
      <c r="K5" s="14"/>
      <c r="L5" s="14"/>
      <c r="M5" s="39"/>
    </row>
    <row r="6" spans="1:13" ht="18" customHeight="1" x14ac:dyDescent="0.25">
      <c r="A6" s="8">
        <v>5</v>
      </c>
      <c r="B6" s="8" t="s">
        <v>203</v>
      </c>
      <c r="C6" s="8">
        <v>0.45</v>
      </c>
      <c r="D6" s="8">
        <v>50</v>
      </c>
      <c r="E6" s="8">
        <v>18</v>
      </c>
      <c r="F6" s="8">
        <v>12</v>
      </c>
      <c r="G6" s="9">
        <v>2000000</v>
      </c>
      <c r="H6" s="10">
        <v>2500000</v>
      </c>
      <c r="I6" s="19">
        <v>3500000</v>
      </c>
      <c r="J6" s="12">
        <v>1450000</v>
      </c>
      <c r="K6" s="8"/>
      <c r="L6" s="8"/>
      <c r="M6" s="39"/>
    </row>
    <row r="7" spans="1:13" ht="18" customHeight="1" x14ac:dyDescent="0.25">
      <c r="A7" s="14">
        <v>6</v>
      </c>
      <c r="B7" s="14" t="s">
        <v>204</v>
      </c>
      <c r="C7" s="14">
        <v>0.75</v>
      </c>
      <c r="D7" s="14">
        <v>50</v>
      </c>
      <c r="E7" s="14">
        <v>24</v>
      </c>
      <c r="F7" s="14">
        <v>14</v>
      </c>
      <c r="G7" s="9">
        <v>2400000</v>
      </c>
      <c r="H7" s="10">
        <v>3000000</v>
      </c>
      <c r="I7" s="19">
        <v>4200000</v>
      </c>
      <c r="J7" s="15">
        <v>1600000</v>
      </c>
      <c r="K7" s="14"/>
      <c r="L7" s="14"/>
      <c r="M7" s="39"/>
    </row>
    <row r="8" spans="1:13" ht="18" customHeight="1" x14ac:dyDescent="0.25">
      <c r="A8" s="8">
        <v>7</v>
      </c>
      <c r="B8" s="8" t="s">
        <v>205</v>
      </c>
      <c r="C8" s="8">
        <v>1.1000000000000001</v>
      </c>
      <c r="D8" s="8">
        <v>50</v>
      </c>
      <c r="E8" s="8">
        <v>30</v>
      </c>
      <c r="F8" s="8">
        <v>15</v>
      </c>
      <c r="G8" s="9">
        <v>2700000</v>
      </c>
      <c r="H8" s="10">
        <v>3400000</v>
      </c>
      <c r="I8" s="19">
        <v>4800000</v>
      </c>
      <c r="J8" s="12">
        <v>2050000</v>
      </c>
      <c r="K8" s="8"/>
      <c r="L8" s="8"/>
      <c r="M8" s="39"/>
    </row>
    <row r="9" spans="1:13" ht="18" customHeight="1" x14ac:dyDescent="0.25">
      <c r="A9" s="14">
        <v>8</v>
      </c>
      <c r="B9" s="14" t="s">
        <v>206</v>
      </c>
      <c r="C9" s="14">
        <v>1.5</v>
      </c>
      <c r="D9" s="14">
        <v>80</v>
      </c>
      <c r="E9" s="14">
        <v>42</v>
      </c>
      <c r="F9" s="14">
        <v>16</v>
      </c>
      <c r="G9" s="9">
        <v>3500000</v>
      </c>
      <c r="H9" s="10">
        <v>4500000</v>
      </c>
      <c r="I9" s="19">
        <v>6300000</v>
      </c>
      <c r="J9" s="15">
        <v>2150000</v>
      </c>
      <c r="K9" s="14"/>
      <c r="L9" s="14"/>
      <c r="M9" s="39"/>
    </row>
    <row r="10" spans="1:13" ht="18" customHeight="1" x14ac:dyDescent="0.25">
      <c r="A10" s="8">
        <v>9</v>
      </c>
      <c r="B10" s="8" t="s">
        <v>207</v>
      </c>
      <c r="C10" s="8">
        <v>2.2000000000000002</v>
      </c>
      <c r="D10" s="8">
        <v>80</v>
      </c>
      <c r="E10" s="8">
        <v>54</v>
      </c>
      <c r="F10" s="8">
        <v>19</v>
      </c>
      <c r="G10" s="9">
        <v>4000000</v>
      </c>
      <c r="H10" s="10">
        <v>5500000</v>
      </c>
      <c r="I10" s="19">
        <v>7700000</v>
      </c>
      <c r="J10" s="12">
        <v>2550000</v>
      </c>
      <c r="K10" s="8"/>
      <c r="L10" s="8"/>
      <c r="M10" s="39"/>
    </row>
    <row r="11" spans="1:13" ht="18" customHeight="1" x14ac:dyDescent="0.25">
      <c r="A11" s="14">
        <v>10</v>
      </c>
      <c r="B11" s="14" t="s">
        <v>208</v>
      </c>
      <c r="C11" s="14">
        <v>3</v>
      </c>
      <c r="D11" s="14">
        <v>100</v>
      </c>
      <c r="E11" s="14">
        <v>60</v>
      </c>
      <c r="F11" s="14">
        <v>22</v>
      </c>
      <c r="G11" s="9">
        <v>4500000</v>
      </c>
      <c r="H11" s="10">
        <v>6300000</v>
      </c>
      <c r="I11" s="19">
        <v>8900000</v>
      </c>
      <c r="J11" s="15">
        <v>3000000</v>
      </c>
      <c r="K11" s="14"/>
      <c r="L11" s="14"/>
      <c r="M11" s="39"/>
    </row>
    <row r="12" spans="1:13" ht="18" customHeight="1" x14ac:dyDescent="0.25">
      <c r="A12" s="8">
        <v>11</v>
      </c>
      <c r="B12" s="8" t="s">
        <v>209</v>
      </c>
      <c r="C12" s="8">
        <v>0.15</v>
      </c>
      <c r="D12" s="8">
        <v>32</v>
      </c>
      <c r="E12" s="8">
        <v>7</v>
      </c>
      <c r="F12" s="8">
        <v>6</v>
      </c>
      <c r="G12" s="9">
        <v>1400000</v>
      </c>
      <c r="H12" s="10">
        <v>1700000</v>
      </c>
      <c r="I12" s="19">
        <v>2400000</v>
      </c>
      <c r="J12" s="12">
        <v>1050000</v>
      </c>
      <c r="K12" s="8"/>
      <c r="L12" s="8"/>
      <c r="M12" s="39"/>
    </row>
    <row r="13" spans="1:13" ht="18" customHeight="1" x14ac:dyDescent="0.25">
      <c r="A13" s="14">
        <v>12</v>
      </c>
      <c r="B13" s="14" t="s">
        <v>210</v>
      </c>
      <c r="C13" s="14">
        <v>0.18</v>
      </c>
      <c r="D13" s="14">
        <v>32</v>
      </c>
      <c r="E13" s="14">
        <v>8</v>
      </c>
      <c r="F13" s="14">
        <v>7</v>
      </c>
      <c r="G13" s="9">
        <v>1450000</v>
      </c>
      <c r="H13" s="10">
        <v>1750000</v>
      </c>
      <c r="I13" s="19">
        <v>2500000</v>
      </c>
      <c r="J13" s="15">
        <v>1050000</v>
      </c>
      <c r="K13" s="14"/>
      <c r="L13" s="14"/>
      <c r="M13" s="39"/>
    </row>
    <row r="14" spans="1:13" ht="18" customHeight="1" x14ac:dyDescent="0.25">
      <c r="A14" s="8">
        <v>13</v>
      </c>
      <c r="B14" s="8" t="s">
        <v>211</v>
      </c>
      <c r="C14" s="8">
        <v>0.25</v>
      </c>
      <c r="D14" s="8">
        <v>32</v>
      </c>
      <c r="E14" s="8">
        <v>9</v>
      </c>
      <c r="F14" s="8">
        <v>7</v>
      </c>
      <c r="G14" s="9">
        <v>1500000</v>
      </c>
      <c r="H14" s="10">
        <v>1800000</v>
      </c>
      <c r="I14" s="19">
        <v>2600000</v>
      </c>
      <c r="J14" s="12">
        <v>1050000</v>
      </c>
      <c r="K14" s="8"/>
      <c r="L14" s="8"/>
      <c r="M14" s="39"/>
    </row>
    <row r="15" spans="1:13" ht="18" customHeight="1" x14ac:dyDescent="0.25">
      <c r="A15" s="14">
        <v>14</v>
      </c>
      <c r="B15" s="14" t="s">
        <v>212</v>
      </c>
      <c r="C15" s="14">
        <v>0.37</v>
      </c>
      <c r="D15" s="14">
        <v>32</v>
      </c>
      <c r="E15" s="14">
        <v>10</v>
      </c>
      <c r="F15" s="14">
        <v>9</v>
      </c>
      <c r="G15" s="9">
        <v>1600000</v>
      </c>
      <c r="H15" s="10">
        <v>2000000</v>
      </c>
      <c r="I15" s="19">
        <v>2800000</v>
      </c>
      <c r="J15" s="15">
        <v>1050000</v>
      </c>
      <c r="K15" s="14"/>
      <c r="L15" s="14"/>
      <c r="M15" s="39"/>
    </row>
    <row r="16" spans="1:13" ht="18" customHeight="1" x14ac:dyDescent="0.25">
      <c r="A16" s="8">
        <v>15</v>
      </c>
      <c r="B16" s="8" t="s">
        <v>213</v>
      </c>
      <c r="C16" s="8">
        <v>0.45</v>
      </c>
      <c r="D16" s="8">
        <v>50</v>
      </c>
      <c r="E16" s="8">
        <v>18</v>
      </c>
      <c r="F16" s="8">
        <v>12</v>
      </c>
      <c r="G16" s="9">
        <v>2000000</v>
      </c>
      <c r="H16" s="10">
        <v>2500000</v>
      </c>
      <c r="I16" s="19">
        <v>3500000</v>
      </c>
      <c r="J16" s="12">
        <v>1450000</v>
      </c>
      <c r="K16" s="8"/>
      <c r="L16" s="8"/>
      <c r="M16" s="39"/>
    </row>
    <row r="17" spans="1:13" ht="18" customHeight="1" x14ac:dyDescent="0.25">
      <c r="A17" s="14">
        <v>16</v>
      </c>
      <c r="B17" s="14" t="s">
        <v>214</v>
      </c>
      <c r="C17" s="14">
        <v>0.75</v>
      </c>
      <c r="D17" s="14">
        <v>50</v>
      </c>
      <c r="E17" s="14">
        <v>24</v>
      </c>
      <c r="F17" s="14">
        <v>14</v>
      </c>
      <c r="G17" s="9">
        <v>2400000</v>
      </c>
      <c r="H17" s="10">
        <v>3000000</v>
      </c>
      <c r="I17" s="19">
        <v>4200000</v>
      </c>
      <c r="J17" s="15">
        <v>1600000</v>
      </c>
      <c r="K17" s="14"/>
      <c r="L17" s="14"/>
      <c r="M17" s="39"/>
    </row>
    <row r="18" spans="1:13" ht="18" customHeight="1" x14ac:dyDescent="0.25">
      <c r="A18" s="8">
        <v>17</v>
      </c>
      <c r="B18" s="8" t="s">
        <v>215</v>
      </c>
      <c r="C18" s="8">
        <v>1.1000000000000001</v>
      </c>
      <c r="D18" s="8">
        <v>50</v>
      </c>
      <c r="E18" s="8">
        <v>30</v>
      </c>
      <c r="F18" s="8">
        <v>15</v>
      </c>
      <c r="G18" s="9">
        <v>2700000</v>
      </c>
      <c r="H18" s="10">
        <v>3400000</v>
      </c>
      <c r="I18" s="19">
        <v>4800000</v>
      </c>
      <c r="J18" s="12">
        <v>2050000</v>
      </c>
      <c r="K18" s="8"/>
      <c r="L18" s="8"/>
      <c r="M18" s="39"/>
    </row>
    <row r="19" spans="1:13" ht="18" customHeight="1" x14ac:dyDescent="0.25">
      <c r="A19" s="14">
        <v>18</v>
      </c>
      <c r="B19" s="14" t="s">
        <v>216</v>
      </c>
      <c r="C19" s="14">
        <v>1.5</v>
      </c>
      <c r="D19" s="14">
        <v>80</v>
      </c>
      <c r="E19" s="14">
        <v>42</v>
      </c>
      <c r="F19" s="14">
        <v>16</v>
      </c>
      <c r="G19" s="9">
        <v>3500000</v>
      </c>
      <c r="H19" s="10">
        <v>4500000</v>
      </c>
      <c r="I19" s="19">
        <v>6300000</v>
      </c>
      <c r="J19" s="15">
        <v>2150000</v>
      </c>
      <c r="K19" s="14"/>
      <c r="L19" s="14"/>
      <c r="M19" s="39"/>
    </row>
    <row r="20" spans="1:13" ht="18" customHeight="1" x14ac:dyDescent="0.25">
      <c r="A20" s="8">
        <v>19</v>
      </c>
      <c r="B20" s="8" t="s">
        <v>217</v>
      </c>
      <c r="C20" s="8">
        <v>2.2000000000000002</v>
      </c>
      <c r="D20" s="8">
        <v>80</v>
      </c>
      <c r="E20" s="8">
        <v>54</v>
      </c>
      <c r="F20" s="8">
        <v>19</v>
      </c>
      <c r="G20" s="9">
        <v>4000000</v>
      </c>
      <c r="H20" s="10">
        <v>5500000</v>
      </c>
      <c r="I20" s="19">
        <v>7700000</v>
      </c>
      <c r="J20" s="12">
        <v>2550000</v>
      </c>
      <c r="K20" s="8"/>
      <c r="L20" s="8"/>
      <c r="M20" s="39"/>
    </row>
    <row r="21" spans="1:13" ht="18" customHeight="1" x14ac:dyDescent="0.25">
      <c r="A21" s="14">
        <v>20</v>
      </c>
      <c r="B21" s="14" t="s">
        <v>218</v>
      </c>
      <c r="C21" s="14">
        <v>3</v>
      </c>
      <c r="D21" s="14">
        <v>100</v>
      </c>
      <c r="E21" s="14">
        <v>60</v>
      </c>
      <c r="F21" s="14">
        <v>22</v>
      </c>
      <c r="G21" s="9">
        <v>4500000</v>
      </c>
      <c r="H21" s="10">
        <v>6300000</v>
      </c>
      <c r="I21" s="19">
        <v>8900000</v>
      </c>
      <c r="J21" s="15">
        <v>3000000</v>
      </c>
      <c r="K21" s="14"/>
      <c r="L21" s="14"/>
      <c r="M21" s="39"/>
    </row>
    <row r="22" spans="1:13" ht="18" customHeight="1" x14ac:dyDescent="0.25">
      <c r="A22" s="8">
        <v>21</v>
      </c>
      <c r="B22" s="8" t="s">
        <v>219</v>
      </c>
      <c r="C22" s="8">
        <v>0.37</v>
      </c>
      <c r="D22" s="8">
        <v>42</v>
      </c>
      <c r="E22" s="8">
        <v>9</v>
      </c>
      <c r="F22" s="8">
        <v>17.399999999999999</v>
      </c>
      <c r="G22" s="9">
        <v>1600000</v>
      </c>
      <c r="H22" s="10">
        <v>2000000</v>
      </c>
      <c r="I22" s="19">
        <v>2800000</v>
      </c>
      <c r="J22" s="12">
        <v>1450000</v>
      </c>
      <c r="K22" s="8"/>
      <c r="L22" s="8"/>
      <c r="M22" s="39"/>
    </row>
    <row r="23" spans="1:13" ht="18" customHeight="1" x14ac:dyDescent="0.25">
      <c r="A23" s="14">
        <v>22</v>
      </c>
      <c r="B23" s="14" t="s">
        <v>220</v>
      </c>
      <c r="C23" s="14">
        <v>0.55000000000000004</v>
      </c>
      <c r="D23" s="14">
        <v>42</v>
      </c>
      <c r="E23" s="14">
        <v>9</v>
      </c>
      <c r="F23" s="14">
        <v>20.2</v>
      </c>
      <c r="G23" s="9">
        <v>2000000</v>
      </c>
      <c r="H23" s="10">
        <v>2500000</v>
      </c>
      <c r="I23" s="19">
        <v>3500000</v>
      </c>
      <c r="J23" s="15">
        <v>1550000</v>
      </c>
      <c r="K23" s="14"/>
      <c r="L23" s="14"/>
      <c r="M23" s="39"/>
    </row>
    <row r="24" spans="1:13" ht="18" customHeight="1" x14ac:dyDescent="0.25">
      <c r="A24" s="8">
        <v>23</v>
      </c>
      <c r="B24" s="8" t="s">
        <v>221</v>
      </c>
      <c r="C24" s="8">
        <v>0.75</v>
      </c>
      <c r="D24" s="8">
        <v>42</v>
      </c>
      <c r="E24" s="8">
        <v>12</v>
      </c>
      <c r="F24" s="8">
        <v>24.4</v>
      </c>
      <c r="G24" s="9">
        <v>2400000</v>
      </c>
      <c r="H24" s="10">
        <v>3000000</v>
      </c>
      <c r="I24" s="19">
        <v>4200000</v>
      </c>
      <c r="J24" s="12">
        <v>1650000</v>
      </c>
      <c r="K24" s="8"/>
      <c r="L24" s="8"/>
      <c r="M24" s="39"/>
    </row>
    <row r="25" spans="1:13" ht="18" customHeight="1" x14ac:dyDescent="0.25">
      <c r="A25" s="14">
        <v>24</v>
      </c>
      <c r="B25" s="14" t="s">
        <v>222</v>
      </c>
      <c r="C25" s="14">
        <v>1.1000000000000001</v>
      </c>
      <c r="D25" s="14">
        <v>42</v>
      </c>
      <c r="E25" s="14">
        <v>15</v>
      </c>
      <c r="F25" s="14">
        <v>27.5</v>
      </c>
      <c r="G25" s="9">
        <v>2700000</v>
      </c>
      <c r="H25" s="10">
        <v>3400000</v>
      </c>
      <c r="I25" s="19">
        <v>4800000</v>
      </c>
      <c r="J25" s="15">
        <v>2050000</v>
      </c>
      <c r="K25" s="14"/>
      <c r="L25" s="14"/>
      <c r="M25" s="39"/>
    </row>
    <row r="26" spans="1:13" ht="18" customHeight="1" x14ac:dyDescent="0.25">
      <c r="A26" s="8">
        <v>25</v>
      </c>
      <c r="B26" s="8" t="s">
        <v>223</v>
      </c>
      <c r="C26" s="8">
        <v>1.5</v>
      </c>
      <c r="D26" s="8">
        <v>48</v>
      </c>
      <c r="E26" s="8">
        <v>15</v>
      </c>
      <c r="F26" s="8">
        <v>31.9</v>
      </c>
      <c r="G26" s="9">
        <v>3500000</v>
      </c>
      <c r="H26" s="10">
        <v>4500000</v>
      </c>
      <c r="I26" s="19">
        <v>6300000</v>
      </c>
      <c r="J26" s="12">
        <v>2400000</v>
      </c>
      <c r="K26" s="8"/>
      <c r="L26" s="8"/>
      <c r="M26" s="39"/>
    </row>
    <row r="27" spans="1:13" ht="18" customHeight="1" x14ac:dyDescent="0.25">
      <c r="A27" s="14">
        <v>26</v>
      </c>
      <c r="B27" s="14" t="s">
        <v>224</v>
      </c>
      <c r="C27" s="14">
        <v>2.2000000000000002</v>
      </c>
      <c r="D27" s="14">
        <v>48</v>
      </c>
      <c r="E27" s="14">
        <v>30</v>
      </c>
      <c r="F27" s="14">
        <v>37.4</v>
      </c>
      <c r="G27" s="9">
        <v>4500000</v>
      </c>
      <c r="H27" s="10">
        <v>5300000</v>
      </c>
      <c r="I27" s="19">
        <v>10400000</v>
      </c>
      <c r="J27" s="15">
        <v>3050000</v>
      </c>
      <c r="K27" s="14"/>
      <c r="L27" s="14"/>
      <c r="M27" s="39"/>
    </row>
    <row r="28" spans="1:13" ht="18" customHeight="1" x14ac:dyDescent="0.25">
      <c r="A28" s="8">
        <v>27</v>
      </c>
      <c r="B28" s="8" t="s">
        <v>225</v>
      </c>
      <c r="C28" s="8">
        <v>3</v>
      </c>
      <c r="D28" s="8">
        <v>60</v>
      </c>
      <c r="E28" s="8">
        <v>30</v>
      </c>
      <c r="F28" s="8">
        <v>41</v>
      </c>
      <c r="G28" s="9">
        <v>5900000</v>
      </c>
      <c r="H28" s="10">
        <v>7000000</v>
      </c>
      <c r="I28" s="19">
        <v>13200000</v>
      </c>
      <c r="J28" s="12">
        <v>4000000</v>
      </c>
      <c r="K28" s="8"/>
      <c r="L28" s="8"/>
      <c r="M28" s="39"/>
    </row>
    <row r="29" spans="1:13" ht="18" customHeight="1" x14ac:dyDescent="0.25">
      <c r="A29" s="14">
        <v>28</v>
      </c>
      <c r="B29" s="14" t="s">
        <v>226</v>
      </c>
      <c r="C29" s="14">
        <v>4</v>
      </c>
      <c r="D29" s="14">
        <v>60</v>
      </c>
      <c r="E29" s="14">
        <v>36</v>
      </c>
      <c r="F29" s="14">
        <v>46.4</v>
      </c>
      <c r="G29" s="9">
        <v>6900000</v>
      </c>
      <c r="H29" s="10">
        <v>8200000</v>
      </c>
      <c r="I29" s="19">
        <v>16400000</v>
      </c>
      <c r="J29" s="15">
        <v>4600000</v>
      </c>
      <c r="K29" s="14"/>
      <c r="L29" s="14"/>
      <c r="M29" s="39"/>
    </row>
    <row r="30" spans="1:13" ht="18" customHeight="1" x14ac:dyDescent="0.25">
      <c r="A30" s="8">
        <v>29</v>
      </c>
      <c r="B30" s="8" t="s">
        <v>227</v>
      </c>
      <c r="C30" s="8">
        <v>5.5</v>
      </c>
      <c r="D30" s="8">
        <v>60</v>
      </c>
      <c r="E30" s="8">
        <v>48</v>
      </c>
      <c r="F30" s="8">
        <v>57.9</v>
      </c>
      <c r="G30" s="9">
        <v>8900000</v>
      </c>
      <c r="H30" s="10">
        <v>10500000</v>
      </c>
      <c r="I30" s="19">
        <v>20600000</v>
      </c>
      <c r="J30" s="12">
        <v>6500000</v>
      </c>
      <c r="K30" s="8"/>
      <c r="L30" s="8"/>
      <c r="M30" s="39"/>
    </row>
    <row r="31" spans="1:13" ht="18" customHeight="1" x14ac:dyDescent="0.25">
      <c r="A31" s="14">
        <v>30</v>
      </c>
      <c r="B31" s="14" t="s">
        <v>228</v>
      </c>
      <c r="C31" s="14">
        <v>7.5</v>
      </c>
      <c r="D31" s="14">
        <v>60</v>
      </c>
      <c r="E31" s="14">
        <v>54</v>
      </c>
      <c r="F31" s="14">
        <v>58.5</v>
      </c>
      <c r="G31" s="9">
        <v>10900000</v>
      </c>
      <c r="H31" s="10">
        <v>12900000</v>
      </c>
      <c r="I31" s="19">
        <v>25200000</v>
      </c>
      <c r="J31" s="15">
        <v>7100000</v>
      </c>
      <c r="K31" s="14"/>
      <c r="L31" s="14"/>
      <c r="M31" s="39"/>
    </row>
    <row r="32" spans="1:13" ht="18" customHeight="1" x14ac:dyDescent="0.25">
      <c r="A32" s="8">
        <v>22</v>
      </c>
      <c r="B32" s="8" t="s">
        <v>229</v>
      </c>
      <c r="C32" s="8">
        <v>0.75</v>
      </c>
      <c r="D32" s="8">
        <v>50</v>
      </c>
      <c r="E32" s="8">
        <v>21</v>
      </c>
      <c r="F32" s="8">
        <v>14</v>
      </c>
      <c r="G32" s="9">
        <v>2600000</v>
      </c>
      <c r="H32" s="10">
        <v>3100000</v>
      </c>
      <c r="I32" s="19">
        <v>4700000</v>
      </c>
      <c r="J32" s="8"/>
      <c r="K32" s="12">
        <v>2520000</v>
      </c>
      <c r="L32" s="8"/>
      <c r="M32" s="39" t="s">
        <v>230</v>
      </c>
    </row>
    <row r="33" spans="1:13" ht="18" customHeight="1" x14ac:dyDescent="0.25">
      <c r="A33" s="14">
        <v>23</v>
      </c>
      <c r="B33" s="14" t="s">
        <v>231</v>
      </c>
      <c r="C33" s="14">
        <v>1.1000000000000001</v>
      </c>
      <c r="D33" s="14">
        <v>50</v>
      </c>
      <c r="E33" s="14">
        <v>25</v>
      </c>
      <c r="F33" s="14">
        <v>15</v>
      </c>
      <c r="G33" s="9">
        <v>3000000</v>
      </c>
      <c r="H33" s="10">
        <v>3500000</v>
      </c>
      <c r="I33" s="19">
        <v>5300000</v>
      </c>
      <c r="J33" s="14"/>
      <c r="K33" s="15">
        <v>2835000</v>
      </c>
      <c r="L33" s="14"/>
      <c r="M33" s="39"/>
    </row>
    <row r="34" spans="1:13" ht="18" customHeight="1" x14ac:dyDescent="0.25">
      <c r="A34" s="8">
        <v>24</v>
      </c>
      <c r="B34" s="8" t="s">
        <v>232</v>
      </c>
      <c r="C34" s="8">
        <v>1.5</v>
      </c>
      <c r="D34" s="8">
        <v>50</v>
      </c>
      <c r="E34" s="8">
        <v>30</v>
      </c>
      <c r="F34" s="8">
        <v>18</v>
      </c>
      <c r="G34" s="9">
        <v>4000000</v>
      </c>
      <c r="H34" s="10">
        <v>4700000</v>
      </c>
      <c r="I34" s="19">
        <v>9200000</v>
      </c>
      <c r="J34" s="20">
        <v>2800000</v>
      </c>
      <c r="K34" s="12">
        <v>3780000</v>
      </c>
      <c r="L34" s="8"/>
      <c r="M34" s="39"/>
    </row>
    <row r="35" spans="1:13" ht="18" customHeight="1" x14ac:dyDescent="0.25">
      <c r="A35" s="14">
        <v>25</v>
      </c>
      <c r="B35" s="14" t="s">
        <v>233</v>
      </c>
      <c r="C35" s="14">
        <v>1.5</v>
      </c>
      <c r="D35" s="14">
        <v>50</v>
      </c>
      <c r="E35" s="14">
        <v>30</v>
      </c>
      <c r="F35" s="14">
        <v>18</v>
      </c>
      <c r="G35" s="9">
        <v>4000000</v>
      </c>
      <c r="H35" s="10">
        <v>4700000</v>
      </c>
      <c r="I35" s="19">
        <v>9200000</v>
      </c>
      <c r="J35" s="20">
        <v>2800000</v>
      </c>
      <c r="K35" s="15">
        <v>3780000</v>
      </c>
      <c r="L35" s="14"/>
      <c r="M35" s="39"/>
    </row>
    <row r="36" spans="1:13" ht="18" customHeight="1" x14ac:dyDescent="0.25">
      <c r="A36" s="8">
        <v>26</v>
      </c>
      <c r="B36" s="8" t="s">
        <v>234</v>
      </c>
      <c r="C36" s="8">
        <v>2.2000000000000002</v>
      </c>
      <c r="D36" s="8">
        <v>50</v>
      </c>
      <c r="E36" s="8">
        <v>35</v>
      </c>
      <c r="F36" s="8">
        <v>24</v>
      </c>
      <c r="G36" s="9">
        <v>4500000</v>
      </c>
      <c r="H36" s="10">
        <v>5300000</v>
      </c>
      <c r="I36" s="19">
        <v>10400000</v>
      </c>
      <c r="J36" s="20">
        <v>3700000</v>
      </c>
      <c r="K36" s="12">
        <v>4252500</v>
      </c>
      <c r="L36" s="8"/>
      <c r="M36" s="39"/>
    </row>
    <row r="37" spans="1:13" ht="18" customHeight="1" x14ac:dyDescent="0.25">
      <c r="A37" s="14">
        <v>27</v>
      </c>
      <c r="B37" s="14" t="s">
        <v>235</v>
      </c>
      <c r="C37" s="14">
        <v>2.2000000000000002</v>
      </c>
      <c r="D37" s="14">
        <v>50</v>
      </c>
      <c r="E37" s="14">
        <v>35</v>
      </c>
      <c r="F37" s="14">
        <v>24</v>
      </c>
      <c r="G37" s="9">
        <v>4500000</v>
      </c>
      <c r="H37" s="10">
        <v>5300000</v>
      </c>
      <c r="I37" s="19">
        <v>10400000</v>
      </c>
      <c r="J37" s="20">
        <v>3700000</v>
      </c>
      <c r="K37" s="15">
        <v>4252500</v>
      </c>
      <c r="L37" s="14"/>
      <c r="M37" s="39"/>
    </row>
    <row r="38" spans="1:13" ht="18" customHeight="1" x14ac:dyDescent="0.25">
      <c r="A38" s="8">
        <v>28</v>
      </c>
      <c r="B38" s="8" t="s">
        <v>236</v>
      </c>
      <c r="C38" s="8">
        <v>3</v>
      </c>
      <c r="D38" s="8">
        <v>50</v>
      </c>
      <c r="E38" s="8">
        <v>35</v>
      </c>
      <c r="F38" s="8">
        <v>28</v>
      </c>
      <c r="G38" s="9">
        <v>5900000</v>
      </c>
      <c r="H38" s="10">
        <v>7000000</v>
      </c>
      <c r="I38" s="19">
        <v>13200000</v>
      </c>
      <c r="J38" s="20">
        <v>4350000</v>
      </c>
      <c r="K38" s="12">
        <v>5670000</v>
      </c>
      <c r="L38" s="8"/>
      <c r="M38" s="39"/>
    </row>
    <row r="39" spans="1:13" ht="18" customHeight="1" x14ac:dyDescent="0.25">
      <c r="A39" s="14">
        <v>29</v>
      </c>
      <c r="B39" s="14" t="s">
        <v>237</v>
      </c>
      <c r="C39" s="14">
        <v>4</v>
      </c>
      <c r="D39" s="14">
        <v>50</v>
      </c>
      <c r="E39" s="14">
        <v>45</v>
      </c>
      <c r="F39" s="14">
        <v>31</v>
      </c>
      <c r="G39" s="9">
        <v>6900000</v>
      </c>
      <c r="H39" s="10">
        <v>8200000</v>
      </c>
      <c r="I39" s="19">
        <v>16400000</v>
      </c>
      <c r="J39" s="20">
        <v>4900000</v>
      </c>
      <c r="K39" s="15">
        <v>6615000</v>
      </c>
      <c r="L39" s="14"/>
      <c r="M39" s="39"/>
    </row>
    <row r="40" spans="1:13" ht="18" customHeight="1" x14ac:dyDescent="0.25">
      <c r="A40" s="8">
        <v>30</v>
      </c>
      <c r="B40" s="8" t="s">
        <v>238</v>
      </c>
      <c r="C40" s="8">
        <v>5.5</v>
      </c>
      <c r="D40" s="8">
        <v>50</v>
      </c>
      <c r="E40" s="8">
        <v>45</v>
      </c>
      <c r="F40" s="8">
        <v>38</v>
      </c>
      <c r="G40" s="9">
        <v>8900000</v>
      </c>
      <c r="H40" s="10">
        <v>10500000</v>
      </c>
      <c r="I40" s="19">
        <v>20600000</v>
      </c>
      <c r="J40" s="20">
        <v>6000000</v>
      </c>
      <c r="K40" s="12">
        <v>8505000</v>
      </c>
      <c r="L40" s="8"/>
      <c r="M40" s="39"/>
    </row>
    <row r="41" spans="1:13" ht="18" customHeight="1" x14ac:dyDescent="0.25">
      <c r="A41" s="14">
        <v>31</v>
      </c>
      <c r="B41" s="14" t="s">
        <v>239</v>
      </c>
      <c r="C41" s="14">
        <v>7.5</v>
      </c>
      <c r="D41" s="14">
        <v>50</v>
      </c>
      <c r="E41" s="14">
        <v>50</v>
      </c>
      <c r="F41" s="14">
        <v>45</v>
      </c>
      <c r="G41" s="9">
        <v>10900000</v>
      </c>
      <c r="H41" s="10">
        <v>12900000</v>
      </c>
      <c r="I41" s="19">
        <v>25200000</v>
      </c>
      <c r="J41" s="20">
        <v>7300000</v>
      </c>
      <c r="K41" s="15">
        <v>10395000</v>
      </c>
      <c r="L41" s="14"/>
      <c r="M41" s="39"/>
    </row>
    <row r="42" spans="1:13" ht="18" customHeight="1" x14ac:dyDescent="0.25">
      <c r="A42" s="8">
        <v>32</v>
      </c>
      <c r="B42" s="8" t="s">
        <v>240</v>
      </c>
      <c r="C42" s="8">
        <v>1.5</v>
      </c>
      <c r="D42" s="8">
        <v>65</v>
      </c>
      <c r="E42" s="8">
        <v>35</v>
      </c>
      <c r="F42" s="8">
        <v>15</v>
      </c>
      <c r="G42" s="9">
        <v>4000000</v>
      </c>
      <c r="H42" s="10">
        <v>4700000</v>
      </c>
      <c r="I42" s="19">
        <v>9200000</v>
      </c>
      <c r="J42" s="20">
        <v>2800000</v>
      </c>
      <c r="K42" s="12">
        <v>3780000</v>
      </c>
      <c r="L42" s="8"/>
      <c r="M42" s="39"/>
    </row>
    <row r="43" spans="1:13" ht="18" customHeight="1" x14ac:dyDescent="0.25">
      <c r="A43" s="14">
        <v>33</v>
      </c>
      <c r="B43" s="14" t="s">
        <v>241</v>
      </c>
      <c r="C43" s="14">
        <v>1.5</v>
      </c>
      <c r="D43" s="14">
        <v>65</v>
      </c>
      <c r="E43" s="14">
        <v>35</v>
      </c>
      <c r="F43" s="14">
        <v>15</v>
      </c>
      <c r="G43" s="9">
        <v>4000000</v>
      </c>
      <c r="H43" s="10">
        <v>4700000</v>
      </c>
      <c r="I43" s="19">
        <v>9200000</v>
      </c>
      <c r="J43" s="20">
        <v>2800000</v>
      </c>
      <c r="K43" s="15">
        <v>3780000</v>
      </c>
      <c r="L43" s="14"/>
      <c r="M43" s="39"/>
    </row>
    <row r="44" spans="1:13" ht="18" customHeight="1" x14ac:dyDescent="0.25">
      <c r="A44" s="8">
        <v>34</v>
      </c>
      <c r="B44" s="8" t="s">
        <v>242</v>
      </c>
      <c r="C44" s="8">
        <v>2.2000000000000002</v>
      </c>
      <c r="D44" s="8">
        <v>65</v>
      </c>
      <c r="E44" s="8">
        <v>50</v>
      </c>
      <c r="F44" s="8">
        <v>20</v>
      </c>
      <c r="G44" s="9">
        <v>4500000</v>
      </c>
      <c r="H44" s="10">
        <v>5300000</v>
      </c>
      <c r="I44" s="19">
        <v>10400000</v>
      </c>
      <c r="J44" s="20">
        <v>3700000</v>
      </c>
      <c r="K44" s="12">
        <v>4252500</v>
      </c>
      <c r="L44" s="8"/>
      <c r="M44" s="39"/>
    </row>
    <row r="45" spans="1:13" ht="18" customHeight="1" x14ac:dyDescent="0.25">
      <c r="A45" s="14">
        <v>35</v>
      </c>
      <c r="B45" s="14" t="s">
        <v>243</v>
      </c>
      <c r="C45" s="14">
        <v>2.2000000000000002</v>
      </c>
      <c r="D45" s="14">
        <v>65</v>
      </c>
      <c r="E45" s="14">
        <v>50</v>
      </c>
      <c r="F45" s="14">
        <v>20</v>
      </c>
      <c r="G45" s="9">
        <v>4500000</v>
      </c>
      <c r="H45" s="10">
        <v>5300000</v>
      </c>
      <c r="I45" s="19">
        <v>10400000</v>
      </c>
      <c r="J45" s="20">
        <v>3700000</v>
      </c>
      <c r="K45" s="15">
        <v>4252500</v>
      </c>
      <c r="L45" s="14"/>
      <c r="M45" s="39"/>
    </row>
    <row r="46" spans="1:13" ht="18" customHeight="1" x14ac:dyDescent="0.25">
      <c r="A46" s="8">
        <v>36</v>
      </c>
      <c r="B46" s="8" t="s">
        <v>244</v>
      </c>
      <c r="C46" s="8">
        <v>3</v>
      </c>
      <c r="D46" s="8">
        <v>65</v>
      </c>
      <c r="E46" s="8">
        <v>55</v>
      </c>
      <c r="F46" s="8">
        <v>24</v>
      </c>
      <c r="G46" s="9">
        <v>5900000</v>
      </c>
      <c r="H46" s="10">
        <v>7000000</v>
      </c>
      <c r="I46" s="19">
        <v>13200000</v>
      </c>
      <c r="J46" s="20">
        <v>4350000</v>
      </c>
      <c r="K46" s="12">
        <v>5670000</v>
      </c>
      <c r="L46" s="8"/>
      <c r="M46" s="39"/>
    </row>
    <row r="47" spans="1:13" ht="18" customHeight="1" x14ac:dyDescent="0.25">
      <c r="A47" s="14">
        <v>37</v>
      </c>
      <c r="B47" s="14" t="s">
        <v>245</v>
      </c>
      <c r="C47" s="14">
        <v>4</v>
      </c>
      <c r="D47" s="14">
        <v>65</v>
      </c>
      <c r="E47" s="14">
        <v>55</v>
      </c>
      <c r="F47" s="14">
        <v>29</v>
      </c>
      <c r="G47" s="9">
        <v>6900000</v>
      </c>
      <c r="H47" s="10">
        <v>8200000</v>
      </c>
      <c r="I47" s="19">
        <v>16400000</v>
      </c>
      <c r="J47" s="20">
        <v>4900000</v>
      </c>
      <c r="K47" s="15">
        <v>6615000</v>
      </c>
      <c r="L47" s="14"/>
      <c r="M47" s="39"/>
    </row>
    <row r="48" spans="1:13" ht="18" customHeight="1" x14ac:dyDescent="0.25">
      <c r="A48" s="8">
        <v>38</v>
      </c>
      <c r="B48" s="8" t="s">
        <v>246</v>
      </c>
      <c r="C48" s="8">
        <v>5.5</v>
      </c>
      <c r="D48" s="8">
        <v>65</v>
      </c>
      <c r="E48" s="8">
        <v>60</v>
      </c>
      <c r="F48" s="8">
        <v>40</v>
      </c>
      <c r="G48" s="9">
        <v>8900000</v>
      </c>
      <c r="H48" s="10">
        <v>10500000</v>
      </c>
      <c r="I48" s="19">
        <v>20600000</v>
      </c>
      <c r="J48" s="20">
        <v>6400000</v>
      </c>
      <c r="K48" s="12">
        <v>8505000</v>
      </c>
      <c r="L48" s="8"/>
      <c r="M48" s="39"/>
    </row>
    <row r="49" spans="1:13" ht="18" customHeight="1" x14ac:dyDescent="0.25">
      <c r="A49" s="14">
        <v>39</v>
      </c>
      <c r="B49" s="14" t="s">
        <v>247</v>
      </c>
      <c r="C49" s="14">
        <v>2.2000000000000002</v>
      </c>
      <c r="D49" s="14">
        <v>80</v>
      </c>
      <c r="E49" s="14">
        <v>60</v>
      </c>
      <c r="F49" s="14">
        <v>18</v>
      </c>
      <c r="G49" s="9">
        <v>4500000</v>
      </c>
      <c r="H49" s="10">
        <v>5300000</v>
      </c>
      <c r="I49" s="19">
        <v>10400000</v>
      </c>
      <c r="J49" s="20">
        <v>3700000</v>
      </c>
      <c r="K49" s="15">
        <v>4252500</v>
      </c>
      <c r="L49" s="14"/>
      <c r="M49" s="39"/>
    </row>
    <row r="50" spans="1:13" ht="18" customHeight="1" x14ac:dyDescent="0.25">
      <c r="A50" s="8">
        <v>40</v>
      </c>
      <c r="B50" s="8" t="s">
        <v>248</v>
      </c>
      <c r="C50" s="8">
        <v>2.2000000000000002</v>
      </c>
      <c r="D50" s="8">
        <v>80</v>
      </c>
      <c r="E50" s="8">
        <v>60</v>
      </c>
      <c r="F50" s="8">
        <v>18</v>
      </c>
      <c r="G50" s="9">
        <v>4500000</v>
      </c>
      <c r="H50" s="10">
        <v>5300000</v>
      </c>
      <c r="I50" s="19">
        <v>10400000</v>
      </c>
      <c r="J50" s="20">
        <v>3700000</v>
      </c>
      <c r="K50" s="12">
        <v>4252500</v>
      </c>
      <c r="L50" s="8"/>
      <c r="M50" s="39"/>
    </row>
    <row r="51" spans="1:13" ht="18" customHeight="1" x14ac:dyDescent="0.25">
      <c r="A51" s="14">
        <v>41</v>
      </c>
      <c r="B51" s="14" t="s">
        <v>249</v>
      </c>
      <c r="C51" s="14">
        <v>3</v>
      </c>
      <c r="D51" s="14">
        <v>80</v>
      </c>
      <c r="E51" s="14">
        <v>60</v>
      </c>
      <c r="F51" s="14">
        <v>23</v>
      </c>
      <c r="G51" s="9">
        <v>5900000</v>
      </c>
      <c r="H51" s="10">
        <v>7000000</v>
      </c>
      <c r="I51" s="19">
        <v>13200000</v>
      </c>
      <c r="J51" s="20">
        <v>4350000</v>
      </c>
      <c r="K51" s="15">
        <v>5670000</v>
      </c>
      <c r="L51" s="14"/>
      <c r="M51" s="39"/>
    </row>
    <row r="52" spans="1:13" ht="18" customHeight="1" x14ac:dyDescent="0.25">
      <c r="A52" s="8">
        <v>42</v>
      </c>
      <c r="B52" s="8" t="s">
        <v>250</v>
      </c>
      <c r="C52" s="8">
        <v>4</v>
      </c>
      <c r="D52" s="8">
        <v>80</v>
      </c>
      <c r="E52" s="8">
        <v>80</v>
      </c>
      <c r="F52" s="8">
        <v>29</v>
      </c>
      <c r="G52" s="9">
        <v>6900000</v>
      </c>
      <c r="H52" s="10">
        <v>8200000</v>
      </c>
      <c r="I52" s="19">
        <v>16400000</v>
      </c>
      <c r="J52" s="20">
        <v>4900000</v>
      </c>
      <c r="K52" s="12">
        <v>6615000</v>
      </c>
      <c r="L52" s="8"/>
      <c r="M52" s="39"/>
    </row>
    <row r="53" spans="1:13" ht="18" customHeight="1" x14ac:dyDescent="0.25">
      <c r="A53" s="14">
        <v>43</v>
      </c>
      <c r="B53" s="14" t="s">
        <v>251</v>
      </c>
      <c r="C53" s="14">
        <v>5.5</v>
      </c>
      <c r="D53" s="14">
        <v>80</v>
      </c>
      <c r="E53" s="14">
        <v>90</v>
      </c>
      <c r="F53" s="14">
        <v>32</v>
      </c>
      <c r="G53" s="9">
        <v>8900000</v>
      </c>
      <c r="H53" s="10">
        <v>10500000</v>
      </c>
      <c r="I53" s="19">
        <v>20600000</v>
      </c>
      <c r="J53" s="20">
        <v>6400000</v>
      </c>
      <c r="K53" s="15">
        <v>8505000</v>
      </c>
      <c r="L53" s="14"/>
      <c r="M53" s="39"/>
    </row>
    <row r="54" spans="1:13" ht="18" customHeight="1" x14ac:dyDescent="0.25">
      <c r="A54" s="8">
        <v>44</v>
      </c>
      <c r="B54" s="8" t="s">
        <v>252</v>
      </c>
      <c r="C54" s="8">
        <v>7.5</v>
      </c>
      <c r="D54" s="8">
        <v>80</v>
      </c>
      <c r="E54" s="8">
        <v>120</v>
      </c>
      <c r="F54" s="8">
        <v>35</v>
      </c>
      <c r="G54" s="9">
        <v>10900000</v>
      </c>
      <c r="H54" s="10">
        <v>12900000</v>
      </c>
      <c r="I54" s="19">
        <v>25200000</v>
      </c>
      <c r="J54" s="20">
        <v>7650000</v>
      </c>
      <c r="K54" s="12">
        <v>10395000</v>
      </c>
      <c r="L54" s="8"/>
      <c r="M54" s="39"/>
    </row>
    <row r="55" spans="1:13" ht="18" customHeight="1" x14ac:dyDescent="0.25">
      <c r="A55" s="14">
        <v>45</v>
      </c>
      <c r="B55" s="14" t="s">
        <v>253</v>
      </c>
      <c r="C55" s="14">
        <v>9.5</v>
      </c>
      <c r="D55" s="14">
        <v>80</v>
      </c>
      <c r="E55" s="14">
        <v>120</v>
      </c>
      <c r="F55" s="14">
        <v>40</v>
      </c>
      <c r="G55" s="9">
        <v>15500000</v>
      </c>
      <c r="H55" s="10">
        <v>18000000</v>
      </c>
      <c r="I55" s="19">
        <v>35500000</v>
      </c>
      <c r="J55" s="15">
        <v>7650000</v>
      </c>
      <c r="K55" s="14"/>
      <c r="L55" s="14"/>
      <c r="M55" s="39"/>
    </row>
    <row r="56" spans="1:13" ht="18" customHeight="1" x14ac:dyDescent="0.25">
      <c r="A56" s="8">
        <v>46</v>
      </c>
      <c r="B56" s="8" t="s">
        <v>254</v>
      </c>
      <c r="C56" s="8">
        <v>4</v>
      </c>
      <c r="D56" s="8">
        <v>100</v>
      </c>
      <c r="E56" s="8">
        <v>90</v>
      </c>
      <c r="F56" s="8">
        <v>28</v>
      </c>
      <c r="G56" s="9">
        <v>6900000</v>
      </c>
      <c r="H56" s="10">
        <v>8200000</v>
      </c>
      <c r="I56" s="19">
        <v>16400000</v>
      </c>
      <c r="J56" s="20">
        <v>4900000</v>
      </c>
      <c r="K56" s="12">
        <v>6615000</v>
      </c>
      <c r="L56" s="8"/>
      <c r="M56" s="39"/>
    </row>
    <row r="57" spans="1:13" ht="18" customHeight="1" x14ac:dyDescent="0.25">
      <c r="A57" s="14">
        <v>47</v>
      </c>
      <c r="B57" s="14" t="s">
        <v>255</v>
      </c>
      <c r="C57" s="14">
        <v>5.5</v>
      </c>
      <c r="D57" s="14">
        <v>100</v>
      </c>
      <c r="E57" s="14">
        <v>120</v>
      </c>
      <c r="F57" s="14">
        <v>30</v>
      </c>
      <c r="G57" s="9">
        <v>8900000</v>
      </c>
      <c r="H57" s="10">
        <v>10500000</v>
      </c>
      <c r="I57" s="19">
        <v>20600000</v>
      </c>
      <c r="J57" s="20">
        <v>6400000</v>
      </c>
      <c r="K57" s="15">
        <v>8505000</v>
      </c>
      <c r="L57" s="14"/>
      <c r="M57" s="39"/>
    </row>
    <row r="58" spans="1:13" ht="18" customHeight="1" x14ac:dyDescent="0.25">
      <c r="A58" s="8">
        <v>48</v>
      </c>
      <c r="B58" s="8" t="s">
        <v>256</v>
      </c>
      <c r="C58" s="8">
        <v>7.5</v>
      </c>
      <c r="D58" s="8">
        <v>100</v>
      </c>
      <c r="E58" s="8">
        <v>150</v>
      </c>
      <c r="F58" s="8">
        <v>33</v>
      </c>
      <c r="G58" s="9">
        <v>10900000</v>
      </c>
      <c r="H58" s="10">
        <v>12900000</v>
      </c>
      <c r="I58" s="19">
        <v>25200000</v>
      </c>
      <c r="J58" s="20">
        <v>7650000</v>
      </c>
      <c r="K58" s="12">
        <v>10395000</v>
      </c>
      <c r="L58" s="8"/>
      <c r="M58" s="39"/>
    </row>
    <row r="59" spans="1:13" ht="18" customHeight="1" x14ac:dyDescent="0.25">
      <c r="A59" s="14">
        <v>49</v>
      </c>
      <c r="B59" s="14" t="s">
        <v>257</v>
      </c>
      <c r="C59" s="14">
        <v>9.5</v>
      </c>
      <c r="D59" s="14">
        <v>100</v>
      </c>
      <c r="E59" s="14">
        <v>180</v>
      </c>
      <c r="F59" s="14">
        <v>34</v>
      </c>
      <c r="G59" s="9">
        <v>15500000</v>
      </c>
      <c r="H59" s="10">
        <v>18000000</v>
      </c>
      <c r="I59" s="19">
        <v>35500000</v>
      </c>
      <c r="J59" s="15">
        <v>14500000</v>
      </c>
      <c r="K59" s="14"/>
      <c r="L59" s="14"/>
      <c r="M59" s="39"/>
    </row>
    <row r="60" spans="1:13" ht="18" customHeight="1" x14ac:dyDescent="0.25">
      <c r="A60" s="8">
        <v>50</v>
      </c>
      <c r="B60" s="8" t="s">
        <v>258</v>
      </c>
      <c r="C60" s="8">
        <v>11</v>
      </c>
      <c r="D60" s="8">
        <v>100</v>
      </c>
      <c r="E60" s="8">
        <v>240</v>
      </c>
      <c r="F60" s="8">
        <v>40</v>
      </c>
      <c r="G60" s="9">
        <v>23600000</v>
      </c>
      <c r="H60" s="10">
        <v>28100000</v>
      </c>
      <c r="I60" s="19">
        <v>45900000</v>
      </c>
      <c r="J60" s="20">
        <v>14500000</v>
      </c>
      <c r="K60" s="12">
        <v>23625000</v>
      </c>
      <c r="L60" s="8"/>
      <c r="M60" s="39"/>
    </row>
    <row r="61" spans="1:13" ht="18" customHeight="1" x14ac:dyDescent="0.25">
      <c r="A61" s="14">
        <v>51</v>
      </c>
      <c r="B61" s="14" t="s">
        <v>259</v>
      </c>
      <c r="C61" s="14">
        <v>15</v>
      </c>
      <c r="D61" s="14">
        <v>100</v>
      </c>
      <c r="E61" s="14">
        <v>240</v>
      </c>
      <c r="F61" s="14">
        <v>44</v>
      </c>
      <c r="G61" s="9">
        <v>24600000</v>
      </c>
      <c r="H61" s="10">
        <v>29300000</v>
      </c>
      <c r="I61" s="19">
        <v>48500000</v>
      </c>
      <c r="J61" s="20">
        <v>16500000</v>
      </c>
      <c r="K61" s="15">
        <v>24570000</v>
      </c>
      <c r="L61" s="14"/>
      <c r="M61" s="39"/>
    </row>
    <row r="62" spans="1:13" ht="18" customHeight="1" x14ac:dyDescent="0.25">
      <c r="A62" s="14">
        <v>51</v>
      </c>
      <c r="B62" s="14" t="s">
        <v>260</v>
      </c>
      <c r="C62" s="14">
        <v>18.5</v>
      </c>
      <c r="D62" s="14">
        <v>100</v>
      </c>
      <c r="E62" s="14">
        <v>240</v>
      </c>
      <c r="F62" s="14">
        <v>52</v>
      </c>
      <c r="G62" s="9">
        <v>33100000</v>
      </c>
      <c r="H62" s="10">
        <v>39400000</v>
      </c>
      <c r="I62" s="19">
        <v>65000000</v>
      </c>
      <c r="J62" s="20">
        <v>21000000</v>
      </c>
      <c r="K62" s="12">
        <v>33075000</v>
      </c>
      <c r="L62" s="14"/>
      <c r="M62" s="39"/>
    </row>
    <row r="63" spans="1:13" ht="18" customHeight="1" x14ac:dyDescent="0.25">
      <c r="A63" s="8">
        <v>52</v>
      </c>
      <c r="B63" s="8" t="s">
        <v>261</v>
      </c>
      <c r="C63" s="8">
        <v>22</v>
      </c>
      <c r="D63" s="8">
        <v>100</v>
      </c>
      <c r="E63" s="8">
        <v>240</v>
      </c>
      <c r="F63" s="8">
        <v>65</v>
      </c>
      <c r="G63" s="9">
        <v>34000000</v>
      </c>
      <c r="H63" s="10">
        <v>40500000</v>
      </c>
      <c r="I63" s="19">
        <v>68000000</v>
      </c>
      <c r="J63" s="20">
        <v>24500000</v>
      </c>
      <c r="K63" s="15">
        <v>34020000</v>
      </c>
      <c r="L63" s="8"/>
      <c r="M63" s="39"/>
    </row>
    <row r="64" spans="1:13" ht="18" customHeight="1" x14ac:dyDescent="0.25">
      <c r="A64" s="14">
        <v>53</v>
      </c>
      <c r="B64" s="14" t="s">
        <v>262</v>
      </c>
      <c r="C64" s="14">
        <v>5.5</v>
      </c>
      <c r="D64" s="14">
        <v>150</v>
      </c>
      <c r="E64" s="14">
        <v>150</v>
      </c>
      <c r="F64" s="14">
        <v>22</v>
      </c>
      <c r="G64" s="9">
        <v>8900000</v>
      </c>
      <c r="H64" s="10">
        <v>10500000</v>
      </c>
      <c r="I64" s="19">
        <v>20600000</v>
      </c>
      <c r="J64" s="20">
        <v>6400000</v>
      </c>
      <c r="K64" s="15">
        <v>8505000</v>
      </c>
      <c r="L64" s="14"/>
      <c r="M64" s="39"/>
    </row>
    <row r="65" spans="1:13" ht="18" customHeight="1" x14ac:dyDescent="0.25">
      <c r="A65" s="8">
        <v>54</v>
      </c>
      <c r="B65" s="8" t="s">
        <v>263</v>
      </c>
      <c r="C65" s="8">
        <v>7.5</v>
      </c>
      <c r="D65" s="8">
        <v>150</v>
      </c>
      <c r="E65" s="8">
        <v>200</v>
      </c>
      <c r="F65" s="8">
        <v>26</v>
      </c>
      <c r="G65" s="9">
        <v>10900000</v>
      </c>
      <c r="H65" s="10">
        <v>12900000</v>
      </c>
      <c r="I65" s="19">
        <v>25200000</v>
      </c>
      <c r="J65" s="20">
        <v>7650000</v>
      </c>
      <c r="K65" s="12">
        <v>10395000</v>
      </c>
      <c r="L65" s="8"/>
      <c r="M65" s="39"/>
    </row>
    <row r="66" spans="1:13" ht="18" customHeight="1" x14ac:dyDescent="0.25">
      <c r="A66" s="14">
        <v>55</v>
      </c>
      <c r="B66" s="14" t="s">
        <v>264</v>
      </c>
      <c r="C66" s="14">
        <v>9.5</v>
      </c>
      <c r="D66" s="14">
        <v>150</v>
      </c>
      <c r="E66" s="14">
        <v>240</v>
      </c>
      <c r="F66" s="14">
        <v>27</v>
      </c>
      <c r="G66" s="9">
        <v>15500000</v>
      </c>
      <c r="H66" s="10">
        <v>18000000</v>
      </c>
      <c r="I66" s="19">
        <v>35500000</v>
      </c>
      <c r="J66" s="14"/>
      <c r="K66" s="14"/>
      <c r="L66" s="14"/>
      <c r="M66" s="39"/>
    </row>
    <row r="67" spans="1:13" ht="18" customHeight="1" x14ac:dyDescent="0.25">
      <c r="A67" s="8">
        <v>56</v>
      </c>
      <c r="B67" s="8" t="s">
        <v>265</v>
      </c>
      <c r="C67" s="8">
        <v>11</v>
      </c>
      <c r="D67" s="8">
        <v>150</v>
      </c>
      <c r="E67" s="8">
        <v>300</v>
      </c>
      <c r="F67" s="8">
        <v>35</v>
      </c>
      <c r="G67" s="9">
        <v>23600000</v>
      </c>
      <c r="H67" s="10">
        <v>28100000</v>
      </c>
      <c r="I67" s="19">
        <v>45900000</v>
      </c>
      <c r="J67" s="20">
        <v>14500000</v>
      </c>
      <c r="K67" s="12">
        <v>23625000</v>
      </c>
      <c r="L67" s="8"/>
      <c r="M67" s="39"/>
    </row>
    <row r="68" spans="1:13" ht="18" customHeight="1" x14ac:dyDescent="0.25">
      <c r="A68" s="14">
        <v>57</v>
      </c>
      <c r="B68" s="14" t="s">
        <v>266</v>
      </c>
      <c r="C68" s="14">
        <v>15</v>
      </c>
      <c r="D68" s="14">
        <v>150</v>
      </c>
      <c r="E68" s="14">
        <v>300</v>
      </c>
      <c r="F68" s="14">
        <v>40</v>
      </c>
      <c r="G68" s="9">
        <v>24600000</v>
      </c>
      <c r="H68" s="10">
        <v>29300000</v>
      </c>
      <c r="I68" s="19">
        <v>48500000</v>
      </c>
      <c r="J68" s="20">
        <v>16500000</v>
      </c>
      <c r="K68" s="15">
        <v>24570000</v>
      </c>
      <c r="L68" s="14"/>
      <c r="M68" s="39"/>
    </row>
    <row r="69" spans="1:13" ht="18" customHeight="1" x14ac:dyDescent="0.25">
      <c r="A69" s="8">
        <v>56</v>
      </c>
      <c r="B69" s="8" t="s">
        <v>832</v>
      </c>
      <c r="C69" s="8">
        <v>11</v>
      </c>
      <c r="D69" s="8">
        <v>150</v>
      </c>
      <c r="E69" s="8">
        <v>300</v>
      </c>
      <c r="F69" s="8">
        <v>35</v>
      </c>
      <c r="G69" s="9">
        <v>23600000</v>
      </c>
      <c r="H69" s="10">
        <v>28100000</v>
      </c>
      <c r="I69" s="19">
        <v>45900000</v>
      </c>
      <c r="J69" s="20">
        <v>14500000</v>
      </c>
      <c r="K69" s="12">
        <v>23625000</v>
      </c>
      <c r="L69" s="8"/>
      <c r="M69" s="39"/>
    </row>
    <row r="70" spans="1:13" ht="18" customHeight="1" x14ac:dyDescent="0.25">
      <c r="A70" s="14">
        <v>57</v>
      </c>
      <c r="B70" s="14" t="s">
        <v>266</v>
      </c>
      <c r="C70" s="14">
        <v>15</v>
      </c>
      <c r="D70" s="14">
        <v>150</v>
      </c>
      <c r="E70" s="14">
        <v>300</v>
      </c>
      <c r="F70" s="14">
        <v>40</v>
      </c>
      <c r="G70" s="9">
        <v>24600000</v>
      </c>
      <c r="H70" s="10">
        <v>29300000</v>
      </c>
      <c r="I70" s="19">
        <v>48500000</v>
      </c>
      <c r="J70" s="20">
        <v>16500000</v>
      </c>
      <c r="K70" s="15">
        <v>24570000</v>
      </c>
      <c r="L70" s="14"/>
      <c r="M70" s="39"/>
    </row>
    <row r="71" spans="1:13" ht="18" customHeight="1" x14ac:dyDescent="0.25">
      <c r="A71" s="8">
        <v>58</v>
      </c>
      <c r="B71" s="8" t="s">
        <v>267</v>
      </c>
      <c r="C71" s="8">
        <v>18.5</v>
      </c>
      <c r="D71" s="8">
        <v>150</v>
      </c>
      <c r="E71" s="8">
        <v>360</v>
      </c>
      <c r="F71" s="8">
        <v>40</v>
      </c>
      <c r="G71" s="9">
        <v>33100000</v>
      </c>
      <c r="H71" s="10">
        <v>39400000</v>
      </c>
      <c r="I71" s="19">
        <v>65000000</v>
      </c>
      <c r="J71" s="20">
        <v>21000000</v>
      </c>
      <c r="K71" s="12">
        <v>33075000</v>
      </c>
      <c r="L71" s="8"/>
      <c r="M71" s="39"/>
    </row>
    <row r="72" spans="1:13" ht="18" customHeight="1" x14ac:dyDescent="0.25">
      <c r="A72" s="14">
        <v>59</v>
      </c>
      <c r="B72" s="14" t="s">
        <v>268</v>
      </c>
      <c r="C72" s="14">
        <v>22</v>
      </c>
      <c r="D72" s="14">
        <v>150</v>
      </c>
      <c r="E72" s="14">
        <v>360</v>
      </c>
      <c r="F72" s="14">
        <v>44</v>
      </c>
      <c r="G72" s="9">
        <v>34000000</v>
      </c>
      <c r="H72" s="10">
        <v>40500000</v>
      </c>
      <c r="I72" s="19">
        <v>68000000</v>
      </c>
      <c r="J72" s="20">
        <v>24500000</v>
      </c>
      <c r="K72" s="15">
        <v>34020000</v>
      </c>
      <c r="L72" s="14"/>
      <c r="M72" s="39"/>
    </row>
    <row r="73" spans="1:13" ht="18" customHeight="1" x14ac:dyDescent="0.25">
      <c r="A73" s="8">
        <v>60</v>
      </c>
      <c r="B73" s="8" t="s">
        <v>269</v>
      </c>
      <c r="C73" s="8">
        <v>22</v>
      </c>
      <c r="D73" s="8">
        <v>200</v>
      </c>
      <c r="E73" s="8">
        <v>480</v>
      </c>
      <c r="F73" s="8">
        <v>30</v>
      </c>
      <c r="G73" s="9">
        <v>44900000</v>
      </c>
      <c r="H73" s="10">
        <v>48800000</v>
      </c>
      <c r="I73" s="19">
        <v>78300000</v>
      </c>
      <c r="J73" s="20">
        <v>26000000</v>
      </c>
      <c r="K73" s="8"/>
      <c r="L73" s="12">
        <v>39000000</v>
      </c>
      <c r="M73" s="39"/>
    </row>
    <row r="74" spans="1:13" ht="18" customHeight="1" x14ac:dyDescent="0.25">
      <c r="A74" s="14">
        <v>61</v>
      </c>
      <c r="B74" s="14" t="s">
        <v>270</v>
      </c>
      <c r="C74" s="14">
        <v>30</v>
      </c>
      <c r="D74" s="14">
        <v>200</v>
      </c>
      <c r="E74" s="14">
        <v>600</v>
      </c>
      <c r="F74" s="14">
        <v>28</v>
      </c>
      <c r="G74" s="9">
        <v>68800000</v>
      </c>
      <c r="H74" s="10">
        <v>74800000</v>
      </c>
      <c r="I74" s="19">
        <v>101000000</v>
      </c>
      <c r="J74" s="20">
        <v>50000000</v>
      </c>
      <c r="K74" s="14"/>
      <c r="L74" s="15">
        <v>59800000</v>
      </c>
      <c r="M74" s="39"/>
    </row>
    <row r="75" spans="1:13" ht="18" customHeight="1" x14ac:dyDescent="0.25">
      <c r="A75" s="8">
        <v>62</v>
      </c>
      <c r="B75" s="8" t="s">
        <v>271</v>
      </c>
      <c r="C75" s="8">
        <v>30</v>
      </c>
      <c r="D75" s="8">
        <v>250</v>
      </c>
      <c r="E75" s="8">
        <v>720</v>
      </c>
      <c r="F75" s="8">
        <v>24</v>
      </c>
      <c r="G75" s="9">
        <v>68800000</v>
      </c>
      <c r="H75" s="10">
        <v>74800000</v>
      </c>
      <c r="I75" s="19">
        <v>101000000</v>
      </c>
      <c r="J75" s="20">
        <v>50000000</v>
      </c>
      <c r="K75" s="8"/>
      <c r="L75" s="12">
        <v>59800000</v>
      </c>
      <c r="M75" s="39"/>
    </row>
    <row r="76" spans="1:13" ht="18" customHeight="1" x14ac:dyDescent="0.25">
      <c r="A76" s="14">
        <v>63</v>
      </c>
      <c r="B76" s="14" t="s">
        <v>272</v>
      </c>
      <c r="C76" s="14">
        <v>37</v>
      </c>
      <c r="D76" s="14">
        <v>250</v>
      </c>
      <c r="E76" s="15">
        <v>1100</v>
      </c>
      <c r="F76" s="14">
        <v>20</v>
      </c>
      <c r="G76" s="9">
        <v>79400000</v>
      </c>
      <c r="H76" s="10">
        <v>86300000</v>
      </c>
      <c r="I76" s="19">
        <v>111000000</v>
      </c>
      <c r="J76" s="20">
        <v>58000000</v>
      </c>
      <c r="K76" s="14"/>
      <c r="L76" s="15">
        <v>69000000</v>
      </c>
      <c r="M76" s="39"/>
    </row>
    <row r="77" spans="1:13" ht="18" customHeight="1" x14ac:dyDescent="0.25">
      <c r="A77" s="8">
        <v>64</v>
      </c>
      <c r="B77" s="8" t="s">
        <v>273</v>
      </c>
      <c r="C77" s="8">
        <v>45</v>
      </c>
      <c r="D77" s="8">
        <v>250</v>
      </c>
      <c r="E77" s="12">
        <v>1100</v>
      </c>
      <c r="F77" s="8">
        <v>24</v>
      </c>
      <c r="G77" s="9">
        <v>84000000</v>
      </c>
      <c r="H77" s="10">
        <v>91300000</v>
      </c>
      <c r="I77" s="19">
        <v>118000000</v>
      </c>
      <c r="J77" s="20">
        <v>61500000</v>
      </c>
      <c r="K77" s="8"/>
      <c r="L77" s="12">
        <v>73000000</v>
      </c>
      <c r="M77" s="39"/>
    </row>
    <row r="78" spans="1:13" ht="18" customHeight="1" x14ac:dyDescent="0.25">
      <c r="A78" s="14">
        <v>65</v>
      </c>
      <c r="B78" s="14" t="s">
        <v>274</v>
      </c>
      <c r="C78" s="14">
        <v>45</v>
      </c>
      <c r="D78" s="14">
        <v>300</v>
      </c>
      <c r="E78" s="15">
        <v>1500</v>
      </c>
      <c r="F78" s="14">
        <v>21</v>
      </c>
      <c r="G78" s="9">
        <v>84000000</v>
      </c>
      <c r="H78" s="10">
        <v>91300000</v>
      </c>
      <c r="I78" s="19">
        <v>118000000</v>
      </c>
      <c r="J78" s="20">
        <v>61500000</v>
      </c>
      <c r="K78" s="14"/>
      <c r="L78" s="15">
        <v>73000000</v>
      </c>
      <c r="M78" s="39"/>
    </row>
    <row r="79" spans="1:13" ht="18" customHeight="1" x14ac:dyDescent="0.25">
      <c r="A79" s="8">
        <v>66</v>
      </c>
      <c r="B79" s="8" t="s">
        <v>275</v>
      </c>
      <c r="C79" s="8">
        <v>55</v>
      </c>
      <c r="D79" s="8">
        <v>300</v>
      </c>
      <c r="E79" s="12">
        <v>1700</v>
      </c>
      <c r="F79" s="8">
        <v>25</v>
      </c>
      <c r="G79" s="9">
        <v>90000000</v>
      </c>
      <c r="H79" s="10">
        <v>97500000</v>
      </c>
      <c r="I79" s="19">
        <v>150000000</v>
      </c>
      <c r="J79" s="12">
        <v>78000000</v>
      </c>
      <c r="K79" s="8"/>
      <c r="L79" s="8" t="s">
        <v>276</v>
      </c>
      <c r="M79" s="39"/>
    </row>
    <row r="80" spans="1:13" ht="18" customHeight="1" x14ac:dyDescent="0.25">
      <c r="A80" s="14">
        <v>67</v>
      </c>
      <c r="B80" s="14" t="s">
        <v>277</v>
      </c>
      <c r="C80" s="14">
        <v>75</v>
      </c>
      <c r="D80" s="14">
        <v>300</v>
      </c>
      <c r="E80" s="15">
        <v>2100</v>
      </c>
      <c r="F80" s="14">
        <v>30</v>
      </c>
      <c r="G80" s="9">
        <v>102000000</v>
      </c>
      <c r="H80" s="10">
        <v>110500000</v>
      </c>
      <c r="I80" s="19">
        <v>169000000</v>
      </c>
      <c r="J80" s="15">
        <v>89000000</v>
      </c>
      <c r="K80" s="14"/>
      <c r="L80" s="14" t="s">
        <v>276</v>
      </c>
      <c r="M80" s="39"/>
    </row>
    <row r="81" spans="1:13" ht="18" customHeight="1" x14ac:dyDescent="0.25">
      <c r="A81" s="8">
        <v>68</v>
      </c>
      <c r="B81" s="8" t="s">
        <v>278</v>
      </c>
      <c r="C81" s="8">
        <v>95</v>
      </c>
      <c r="D81" s="8">
        <v>300</v>
      </c>
      <c r="E81" s="12">
        <v>2100</v>
      </c>
      <c r="F81" s="8">
        <v>32</v>
      </c>
      <c r="G81" s="9">
        <v>138000000</v>
      </c>
      <c r="H81" s="10">
        <v>149500000</v>
      </c>
      <c r="I81" s="19">
        <v>200000000</v>
      </c>
      <c r="J81" s="12">
        <v>120000000</v>
      </c>
      <c r="K81" s="8"/>
      <c r="L81" s="8" t="s">
        <v>276</v>
      </c>
      <c r="M81" s="39"/>
    </row>
    <row r="82" spans="1:13" ht="18" customHeight="1" x14ac:dyDescent="0.25">
      <c r="A82" s="14">
        <v>69</v>
      </c>
      <c r="B82" s="14" t="s">
        <v>279</v>
      </c>
      <c r="C82" s="14">
        <v>110</v>
      </c>
      <c r="D82" s="14">
        <v>300</v>
      </c>
      <c r="E82" s="15">
        <v>2500</v>
      </c>
      <c r="F82" s="14">
        <v>34</v>
      </c>
      <c r="G82" s="9">
        <v>162000000</v>
      </c>
      <c r="H82" s="10">
        <v>175500000</v>
      </c>
      <c r="I82" s="19">
        <v>230000000</v>
      </c>
      <c r="J82" s="15">
        <v>142000000</v>
      </c>
      <c r="K82" s="14"/>
      <c r="L82" s="14" t="s">
        <v>276</v>
      </c>
      <c r="M82" s="39"/>
    </row>
  </sheetData>
  <mergeCells count="2">
    <mergeCell ref="M2:M31"/>
    <mergeCell ref="M32:M8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zoomScaleNormal="100" workbookViewId="0">
      <pane ySplit="1" topLeftCell="A2" activePane="bottomLeft" state="frozen"/>
      <selection pane="bottomLeft" activeCell="F24" sqref="F24"/>
    </sheetView>
  </sheetViews>
  <sheetFormatPr defaultColWidth="8.7109375" defaultRowHeight="15" x14ac:dyDescent="0.25"/>
  <cols>
    <col min="1" max="1" width="5" style="1" customWidth="1"/>
    <col min="2" max="2" width="24" style="1" customWidth="1"/>
    <col min="3" max="3" width="12" style="1" customWidth="1"/>
    <col min="4" max="4" width="13" style="1" customWidth="1"/>
    <col min="5" max="5" width="11" style="1" customWidth="1"/>
    <col min="6" max="8" width="13" style="1" customWidth="1"/>
    <col min="9" max="10" width="14" style="1" customWidth="1"/>
    <col min="11" max="11" width="9" style="1" customWidth="1"/>
  </cols>
  <sheetData>
    <row r="1" spans="1:10" ht="30" customHeight="1" x14ac:dyDescent="0.25">
      <c r="A1" s="2" t="s">
        <v>0</v>
      </c>
      <c r="B1" s="2" t="s">
        <v>1</v>
      </c>
      <c r="C1" s="2" t="s">
        <v>2</v>
      </c>
      <c r="D1" s="2" t="s">
        <v>104</v>
      </c>
      <c r="E1" s="2" t="s">
        <v>105</v>
      </c>
      <c r="F1" s="3" t="s">
        <v>6</v>
      </c>
      <c r="G1" s="4" t="s">
        <v>7</v>
      </c>
      <c r="H1" s="5" t="s">
        <v>8</v>
      </c>
      <c r="I1" s="6" t="s">
        <v>280</v>
      </c>
      <c r="J1" s="2" t="s">
        <v>13</v>
      </c>
    </row>
    <row r="2" spans="1:10" ht="18" customHeight="1" x14ac:dyDescent="0.25">
      <c r="A2" s="8">
        <v>2</v>
      </c>
      <c r="B2" s="8" t="s">
        <v>281</v>
      </c>
      <c r="C2" s="8">
        <v>0.55000000000000004</v>
      </c>
      <c r="D2" s="8">
        <v>18</v>
      </c>
      <c r="E2" s="8">
        <v>9.5</v>
      </c>
      <c r="F2" s="9">
        <v>4300000</v>
      </c>
      <c r="G2" s="10">
        <v>5000000</v>
      </c>
      <c r="H2" s="19">
        <v>6300000</v>
      </c>
      <c r="I2" s="12">
        <v>3744000</v>
      </c>
      <c r="J2" s="39" t="s">
        <v>282</v>
      </c>
    </row>
    <row r="3" spans="1:10" ht="18" customHeight="1" x14ac:dyDescent="0.25">
      <c r="A3" s="14">
        <v>3</v>
      </c>
      <c r="B3" s="14" t="s">
        <v>283</v>
      </c>
      <c r="C3" s="14">
        <v>0.75</v>
      </c>
      <c r="D3" s="14">
        <v>22</v>
      </c>
      <c r="E3" s="14">
        <v>10</v>
      </c>
      <c r="F3" s="9">
        <v>4500000</v>
      </c>
      <c r="G3" s="10">
        <v>5200000</v>
      </c>
      <c r="H3" s="19">
        <v>6500000</v>
      </c>
      <c r="I3" s="15">
        <v>3780000</v>
      </c>
      <c r="J3" s="39"/>
    </row>
    <row r="4" spans="1:10" ht="18" customHeight="1" x14ac:dyDescent="0.25">
      <c r="A4" s="8">
        <v>4</v>
      </c>
      <c r="B4" s="8" t="s">
        <v>284</v>
      </c>
      <c r="C4" s="8">
        <v>1.1000000000000001</v>
      </c>
      <c r="D4" s="8">
        <v>24</v>
      </c>
      <c r="E4" s="8">
        <v>12.5</v>
      </c>
      <c r="F4" s="9">
        <v>4900000</v>
      </c>
      <c r="G4" s="10">
        <v>5700000</v>
      </c>
      <c r="H4" s="19">
        <v>7100000</v>
      </c>
      <c r="I4" s="12">
        <v>4248000</v>
      </c>
      <c r="J4" s="39"/>
    </row>
    <row r="5" spans="1:10" ht="18" customHeight="1" x14ac:dyDescent="0.25">
      <c r="A5" s="14">
        <v>5</v>
      </c>
      <c r="B5" s="14" t="s">
        <v>285</v>
      </c>
      <c r="C5" s="14">
        <v>1.5</v>
      </c>
      <c r="D5" s="14">
        <v>30</v>
      </c>
      <c r="E5" s="14">
        <v>14</v>
      </c>
      <c r="F5" s="9">
        <v>7000000</v>
      </c>
      <c r="G5" s="10">
        <v>7900000</v>
      </c>
      <c r="H5" s="19">
        <v>10000000</v>
      </c>
      <c r="I5" s="15">
        <v>6035000</v>
      </c>
      <c r="J5" s="39"/>
    </row>
    <row r="6" spans="1:10" ht="18" customHeight="1" x14ac:dyDescent="0.25">
      <c r="A6" s="8">
        <v>6</v>
      </c>
      <c r="B6" s="8" t="s">
        <v>286</v>
      </c>
      <c r="C6" s="8">
        <v>2.2000000000000002</v>
      </c>
      <c r="D6" s="8">
        <v>48</v>
      </c>
      <c r="E6" s="8">
        <v>15.5</v>
      </c>
      <c r="F6" s="9">
        <v>7500000</v>
      </c>
      <c r="G6" s="10">
        <v>8600000</v>
      </c>
      <c r="H6" s="19">
        <v>10800000</v>
      </c>
      <c r="I6" s="12">
        <v>6477000</v>
      </c>
      <c r="J6" s="39"/>
    </row>
    <row r="7" spans="1:10" ht="18" customHeight="1" x14ac:dyDescent="0.25">
      <c r="A7" s="14">
        <v>2</v>
      </c>
      <c r="B7" s="14" t="s">
        <v>287</v>
      </c>
      <c r="C7" s="14">
        <v>0.55000000000000004</v>
      </c>
      <c r="D7" s="14">
        <v>18</v>
      </c>
      <c r="E7" s="14">
        <v>9.5</v>
      </c>
      <c r="F7" s="9">
        <v>4300000</v>
      </c>
      <c r="G7" s="10">
        <v>5000000</v>
      </c>
      <c r="H7" s="19">
        <v>6300000</v>
      </c>
      <c r="I7" s="15">
        <v>3744000</v>
      </c>
      <c r="J7" s="39"/>
    </row>
    <row r="8" spans="1:10" ht="18" customHeight="1" x14ac:dyDescent="0.25">
      <c r="A8" s="8">
        <v>3</v>
      </c>
      <c r="B8" s="8" t="s">
        <v>288</v>
      </c>
      <c r="C8" s="8">
        <v>0.75</v>
      </c>
      <c r="D8" s="8">
        <v>22</v>
      </c>
      <c r="E8" s="8">
        <v>10</v>
      </c>
      <c r="F8" s="9">
        <v>4500000</v>
      </c>
      <c r="G8" s="10">
        <v>5200000</v>
      </c>
      <c r="H8" s="19">
        <v>6500000</v>
      </c>
      <c r="I8" s="12">
        <v>3780000</v>
      </c>
      <c r="J8" s="39"/>
    </row>
    <row r="9" spans="1:10" ht="18" customHeight="1" x14ac:dyDescent="0.25">
      <c r="A9" s="14">
        <v>4</v>
      </c>
      <c r="B9" s="14" t="s">
        <v>289</v>
      </c>
      <c r="C9" s="14">
        <v>1.1000000000000001</v>
      </c>
      <c r="D9" s="14">
        <v>24</v>
      </c>
      <c r="E9" s="14">
        <v>12.5</v>
      </c>
      <c r="F9" s="9">
        <v>4900000</v>
      </c>
      <c r="G9" s="10">
        <v>5700000</v>
      </c>
      <c r="H9" s="19">
        <v>7100000</v>
      </c>
      <c r="I9" s="15">
        <v>4248000</v>
      </c>
      <c r="J9" s="39"/>
    </row>
    <row r="10" spans="1:10" ht="18" customHeight="1" x14ac:dyDescent="0.25">
      <c r="A10" s="8">
        <v>5</v>
      </c>
      <c r="B10" s="8" t="s">
        <v>290</v>
      </c>
      <c r="C10" s="8">
        <v>1.5</v>
      </c>
      <c r="D10" s="8">
        <v>30</v>
      </c>
      <c r="E10" s="8">
        <v>14</v>
      </c>
      <c r="F10" s="9">
        <v>7000000</v>
      </c>
      <c r="G10" s="10">
        <v>7900000</v>
      </c>
      <c r="H10" s="19">
        <v>10000000</v>
      </c>
      <c r="I10" s="12">
        <v>6035000</v>
      </c>
      <c r="J10" s="39"/>
    </row>
    <row r="11" spans="1:10" ht="18" customHeight="1" x14ac:dyDescent="0.25">
      <c r="A11" s="14">
        <v>6</v>
      </c>
      <c r="B11" s="14" t="s">
        <v>291</v>
      </c>
      <c r="C11" s="14">
        <v>2.2000000000000002</v>
      </c>
      <c r="D11" s="14">
        <v>48</v>
      </c>
      <c r="E11" s="14">
        <v>15.5</v>
      </c>
      <c r="F11" s="9">
        <v>7500000</v>
      </c>
      <c r="G11" s="10">
        <v>8600000</v>
      </c>
      <c r="H11" s="19">
        <v>10800000</v>
      </c>
      <c r="I11" s="15">
        <v>6477000</v>
      </c>
      <c r="J11" s="39"/>
    </row>
    <row r="12" spans="1:10" ht="18" customHeight="1" x14ac:dyDescent="0.25">
      <c r="A12" s="8">
        <v>2</v>
      </c>
      <c r="B12" s="8" t="s">
        <v>292</v>
      </c>
      <c r="C12" s="8">
        <v>2.2000000000000002</v>
      </c>
      <c r="D12" s="8">
        <v>51</v>
      </c>
      <c r="E12" s="8">
        <v>17</v>
      </c>
      <c r="F12" s="21">
        <f t="shared" ref="F12:F18" si="0">I12*1.3</f>
        <v>9360000</v>
      </c>
      <c r="G12" s="22">
        <f t="shared" ref="G12:G18" si="1">I12*1.6</f>
        <v>11520000</v>
      </c>
      <c r="H12" s="23">
        <f t="shared" ref="H12:H18" si="2">I12*2</f>
        <v>14400000</v>
      </c>
      <c r="I12" s="12">
        <v>7200000</v>
      </c>
      <c r="J12" s="39"/>
    </row>
    <row r="13" spans="1:10" ht="18" customHeight="1" x14ac:dyDescent="0.25">
      <c r="A13" s="14">
        <v>3</v>
      </c>
      <c r="B13" s="14" t="s">
        <v>293</v>
      </c>
      <c r="C13" s="14">
        <v>3</v>
      </c>
      <c r="D13" s="14">
        <v>70</v>
      </c>
      <c r="E13" s="14">
        <v>17</v>
      </c>
      <c r="F13" s="21">
        <f t="shared" si="0"/>
        <v>10400000</v>
      </c>
      <c r="G13" s="22">
        <f t="shared" si="1"/>
        <v>12800000</v>
      </c>
      <c r="H13" s="23">
        <f t="shared" si="2"/>
        <v>16000000</v>
      </c>
      <c r="I13" s="15">
        <v>8000000</v>
      </c>
      <c r="J13" s="39"/>
    </row>
    <row r="14" spans="1:10" ht="18" customHeight="1" x14ac:dyDescent="0.25">
      <c r="A14" s="8">
        <v>4</v>
      </c>
      <c r="B14" s="8" t="s">
        <v>294</v>
      </c>
      <c r="C14" s="8">
        <v>4</v>
      </c>
      <c r="D14" s="8">
        <v>85</v>
      </c>
      <c r="E14" s="8">
        <v>20</v>
      </c>
      <c r="F14" s="21">
        <f t="shared" si="0"/>
        <v>14950000</v>
      </c>
      <c r="G14" s="22">
        <f t="shared" si="1"/>
        <v>18400000</v>
      </c>
      <c r="H14" s="23">
        <f t="shared" si="2"/>
        <v>23000000</v>
      </c>
      <c r="I14" s="12">
        <v>11500000</v>
      </c>
      <c r="J14" s="39"/>
    </row>
    <row r="15" spans="1:10" ht="18" customHeight="1" x14ac:dyDescent="0.25">
      <c r="A15" s="14">
        <v>5</v>
      </c>
      <c r="B15" s="14" t="s">
        <v>295</v>
      </c>
      <c r="C15" s="14">
        <v>5.5</v>
      </c>
      <c r="D15" s="14">
        <v>123</v>
      </c>
      <c r="E15" s="14">
        <v>21.5</v>
      </c>
      <c r="F15" s="21">
        <f t="shared" si="0"/>
        <v>16900000</v>
      </c>
      <c r="G15" s="22">
        <f t="shared" si="1"/>
        <v>20800000</v>
      </c>
      <c r="H15" s="23">
        <f t="shared" si="2"/>
        <v>26000000</v>
      </c>
      <c r="I15" s="15">
        <v>13000000</v>
      </c>
      <c r="J15" s="39"/>
    </row>
    <row r="16" spans="1:10" ht="18" customHeight="1" x14ac:dyDescent="0.25">
      <c r="A16" s="8">
        <v>6</v>
      </c>
      <c r="B16" s="8" t="s">
        <v>296</v>
      </c>
      <c r="C16" s="8">
        <v>7.5</v>
      </c>
      <c r="D16" s="8">
        <v>133</v>
      </c>
      <c r="E16" s="8">
        <v>24</v>
      </c>
      <c r="F16" s="21">
        <f t="shared" si="0"/>
        <v>18200000</v>
      </c>
      <c r="G16" s="22">
        <f t="shared" si="1"/>
        <v>22400000</v>
      </c>
      <c r="H16" s="23">
        <f t="shared" si="2"/>
        <v>28000000</v>
      </c>
      <c r="I16" s="12">
        <v>14000000</v>
      </c>
      <c r="J16" s="39"/>
    </row>
    <row r="17" spans="1:10" ht="18" customHeight="1" x14ac:dyDescent="0.25">
      <c r="A17" s="14">
        <v>2</v>
      </c>
      <c r="B17" s="14" t="s">
        <v>297</v>
      </c>
      <c r="C17" s="14">
        <v>11</v>
      </c>
      <c r="D17" s="14">
        <v>180</v>
      </c>
      <c r="E17" s="14">
        <v>24</v>
      </c>
      <c r="F17" s="21">
        <f t="shared" si="0"/>
        <v>36400000</v>
      </c>
      <c r="G17" s="22">
        <f t="shared" si="1"/>
        <v>44800000</v>
      </c>
      <c r="H17" s="23">
        <f t="shared" si="2"/>
        <v>56000000</v>
      </c>
      <c r="I17" s="15">
        <v>28000000</v>
      </c>
      <c r="J17" s="39"/>
    </row>
    <row r="18" spans="1:10" ht="18" customHeight="1" x14ac:dyDescent="0.25">
      <c r="A18" s="8">
        <v>3</v>
      </c>
      <c r="B18" s="8" t="s">
        <v>298</v>
      </c>
      <c r="C18" s="8">
        <v>15</v>
      </c>
      <c r="D18" s="8">
        <v>180</v>
      </c>
      <c r="E18" s="8">
        <v>30</v>
      </c>
      <c r="F18" s="21">
        <f t="shared" si="0"/>
        <v>39000000</v>
      </c>
      <c r="G18" s="22">
        <f t="shared" si="1"/>
        <v>48000000</v>
      </c>
      <c r="H18" s="23">
        <f t="shared" si="2"/>
        <v>60000000</v>
      </c>
      <c r="I18" s="12">
        <v>30000000</v>
      </c>
      <c r="J18" s="39"/>
    </row>
  </sheetData>
  <mergeCells count="1">
    <mergeCell ref="J2:J1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zoomScaleNormal="100" workbookViewId="0">
      <pane ySplit="1" topLeftCell="A14" activePane="bottomLeft" state="frozen"/>
      <selection pane="bottomLeft" activeCell="N39" sqref="N39"/>
    </sheetView>
  </sheetViews>
  <sheetFormatPr defaultColWidth="8.7109375" defaultRowHeight="15" x14ac:dyDescent="0.25"/>
  <cols>
    <col min="1" max="1" width="5" style="1" customWidth="1"/>
    <col min="2" max="2" width="24" style="1" customWidth="1"/>
    <col min="3" max="3" width="12" style="1" customWidth="1"/>
    <col min="4" max="9" width="13" style="1" customWidth="1"/>
    <col min="10" max="11" width="14" style="1" customWidth="1"/>
  </cols>
  <sheetData>
    <row r="1" spans="1:11" ht="30" customHeight="1" x14ac:dyDescent="0.25">
      <c r="A1" s="2" t="s">
        <v>0</v>
      </c>
      <c r="B1" s="2" t="s">
        <v>1</v>
      </c>
      <c r="C1" s="2" t="s">
        <v>299</v>
      </c>
      <c r="D1" s="2" t="s">
        <v>104</v>
      </c>
      <c r="E1" s="2" t="s">
        <v>300</v>
      </c>
      <c r="F1" s="3" t="s">
        <v>6</v>
      </c>
      <c r="G1" s="4" t="s">
        <v>7</v>
      </c>
      <c r="H1" s="5" t="s">
        <v>8</v>
      </c>
      <c r="I1" s="6" t="s">
        <v>301</v>
      </c>
      <c r="J1" s="6" t="s">
        <v>196</v>
      </c>
      <c r="K1" s="2" t="s">
        <v>13</v>
      </c>
    </row>
    <row r="2" spans="1:11" ht="18" customHeight="1" x14ac:dyDescent="0.25">
      <c r="A2" s="8">
        <v>3</v>
      </c>
      <c r="B2" s="8" t="s">
        <v>302</v>
      </c>
      <c r="C2" s="8">
        <v>0.09</v>
      </c>
      <c r="D2" s="8"/>
      <c r="E2" s="8"/>
      <c r="F2" s="9">
        <v>1400000</v>
      </c>
      <c r="G2" s="10">
        <v>1600000</v>
      </c>
      <c r="H2" s="19">
        <v>4800000</v>
      </c>
      <c r="I2" s="12">
        <v>1150000</v>
      </c>
      <c r="J2" s="8" t="s">
        <v>303</v>
      </c>
      <c r="K2" s="39" t="s">
        <v>304</v>
      </c>
    </row>
    <row r="3" spans="1:11" ht="18" customHeight="1" x14ac:dyDescent="0.25">
      <c r="A3" s="14">
        <v>4</v>
      </c>
      <c r="B3" s="14" t="s">
        <v>305</v>
      </c>
      <c r="C3" s="14">
        <v>0.2</v>
      </c>
      <c r="D3" s="14"/>
      <c r="E3" s="14"/>
      <c r="F3" s="9">
        <v>1600000</v>
      </c>
      <c r="G3" s="10">
        <v>1800000</v>
      </c>
      <c r="H3" s="19">
        <v>5500000</v>
      </c>
      <c r="I3" s="15">
        <v>1250000</v>
      </c>
      <c r="J3" s="14" t="s">
        <v>303</v>
      </c>
      <c r="K3" s="39"/>
    </row>
    <row r="4" spans="1:11" ht="18" customHeight="1" x14ac:dyDescent="0.25">
      <c r="A4" s="8">
        <v>3</v>
      </c>
      <c r="B4" s="8" t="s">
        <v>306</v>
      </c>
      <c r="C4" s="8">
        <v>0.25</v>
      </c>
      <c r="D4" s="8">
        <v>48</v>
      </c>
      <c r="E4" s="8">
        <v>12</v>
      </c>
      <c r="F4" s="9">
        <v>2100000</v>
      </c>
      <c r="G4" s="10">
        <v>2400000</v>
      </c>
      <c r="H4" s="19">
        <v>4800000</v>
      </c>
      <c r="I4" s="12">
        <v>1680000</v>
      </c>
      <c r="J4" s="20">
        <v>1620000</v>
      </c>
      <c r="K4" s="39"/>
    </row>
    <row r="5" spans="1:11" ht="18" customHeight="1" x14ac:dyDescent="0.25">
      <c r="A5" s="14">
        <v>4</v>
      </c>
      <c r="B5" s="14" t="s">
        <v>307</v>
      </c>
      <c r="C5" s="14">
        <v>0.37</v>
      </c>
      <c r="D5" s="14">
        <v>57</v>
      </c>
      <c r="E5" s="14">
        <v>14</v>
      </c>
      <c r="F5" s="9">
        <v>2400000</v>
      </c>
      <c r="G5" s="10">
        <v>2700000</v>
      </c>
      <c r="H5" s="19">
        <v>5500000</v>
      </c>
      <c r="I5" s="15">
        <v>1900000</v>
      </c>
      <c r="J5" s="20">
        <v>1850000</v>
      </c>
      <c r="K5" s="39"/>
    </row>
    <row r="6" spans="1:11" ht="18" customHeight="1" x14ac:dyDescent="0.25">
      <c r="A6" s="8">
        <v>5</v>
      </c>
      <c r="B6" s="8" t="s">
        <v>308</v>
      </c>
      <c r="C6" s="8">
        <v>0.55000000000000004</v>
      </c>
      <c r="D6" s="8">
        <v>110</v>
      </c>
      <c r="E6" s="8">
        <v>20</v>
      </c>
      <c r="F6" s="9">
        <v>2900000</v>
      </c>
      <c r="G6" s="10">
        <v>3300000</v>
      </c>
      <c r="H6" s="19">
        <v>6400000</v>
      </c>
      <c r="I6" s="12">
        <v>2350000</v>
      </c>
      <c r="J6" s="20">
        <v>2160000</v>
      </c>
      <c r="K6" s="39"/>
    </row>
    <row r="7" spans="1:11" ht="18" customHeight="1" x14ac:dyDescent="0.25">
      <c r="A7" s="14">
        <v>6</v>
      </c>
      <c r="B7" s="14" t="s">
        <v>309</v>
      </c>
      <c r="C7" s="14">
        <v>0.75</v>
      </c>
      <c r="D7" s="14">
        <v>145</v>
      </c>
      <c r="E7" s="14">
        <v>22</v>
      </c>
      <c r="F7" s="9">
        <v>3100000</v>
      </c>
      <c r="G7" s="10">
        <v>3400000</v>
      </c>
      <c r="H7" s="19">
        <v>7000000</v>
      </c>
      <c r="I7" s="15">
        <v>2450000</v>
      </c>
      <c r="J7" s="20">
        <v>2380000</v>
      </c>
      <c r="K7" s="39"/>
    </row>
    <row r="8" spans="1:11" ht="18" customHeight="1" x14ac:dyDescent="0.25">
      <c r="A8" s="8">
        <v>7</v>
      </c>
      <c r="B8" s="8" t="s">
        <v>310</v>
      </c>
      <c r="C8" s="8">
        <v>1.1000000000000001</v>
      </c>
      <c r="D8" s="8">
        <v>210</v>
      </c>
      <c r="E8" s="8">
        <v>25</v>
      </c>
      <c r="F8" s="9">
        <v>3900000</v>
      </c>
      <c r="G8" s="10">
        <v>4400000</v>
      </c>
      <c r="H8" s="19">
        <v>9000000</v>
      </c>
      <c r="I8" s="12">
        <v>3150000</v>
      </c>
      <c r="J8" s="20">
        <v>3030000</v>
      </c>
      <c r="K8" s="39"/>
    </row>
    <row r="9" spans="1:11" ht="18" customHeight="1" x14ac:dyDescent="0.25">
      <c r="A9" s="14">
        <v>8</v>
      </c>
      <c r="B9" s="14" t="s">
        <v>311</v>
      </c>
      <c r="C9" s="14">
        <v>1.5</v>
      </c>
      <c r="D9" s="14">
        <v>220</v>
      </c>
      <c r="E9" s="14">
        <v>26</v>
      </c>
      <c r="F9" s="9">
        <v>4200000</v>
      </c>
      <c r="G9" s="10">
        <v>4700000</v>
      </c>
      <c r="H9" s="19">
        <v>9800000</v>
      </c>
      <c r="I9" s="15">
        <v>3350000</v>
      </c>
      <c r="J9" s="20">
        <v>3250000</v>
      </c>
      <c r="K9" s="39"/>
    </row>
    <row r="10" spans="1:11" ht="18" customHeight="1" x14ac:dyDescent="0.25">
      <c r="A10" s="8">
        <v>9</v>
      </c>
      <c r="B10" s="8" t="s">
        <v>312</v>
      </c>
      <c r="C10" s="8">
        <v>2.2000000000000002</v>
      </c>
      <c r="D10" s="8">
        <v>325</v>
      </c>
      <c r="E10" s="8">
        <v>36</v>
      </c>
      <c r="F10" s="9">
        <v>6600000</v>
      </c>
      <c r="G10" s="10">
        <v>7400000</v>
      </c>
      <c r="H10" s="19">
        <v>15400000</v>
      </c>
      <c r="I10" s="20">
        <v>5300000</v>
      </c>
      <c r="J10" s="12">
        <v>5620000</v>
      </c>
      <c r="K10" s="39"/>
    </row>
    <row r="11" spans="1:11" ht="18" customHeight="1" x14ac:dyDescent="0.25">
      <c r="A11" s="14">
        <v>10</v>
      </c>
      <c r="B11" s="14" t="s">
        <v>313</v>
      </c>
      <c r="C11" s="14">
        <v>0.75</v>
      </c>
      <c r="D11" s="14">
        <v>145</v>
      </c>
      <c r="E11" s="14">
        <v>22</v>
      </c>
      <c r="F11" s="9">
        <v>3000000</v>
      </c>
      <c r="G11" s="10">
        <v>3400000</v>
      </c>
      <c r="H11" s="19">
        <v>7000000</v>
      </c>
      <c r="I11" s="15">
        <v>2400000</v>
      </c>
      <c r="J11" s="20">
        <v>2270000</v>
      </c>
      <c r="K11" s="39"/>
    </row>
    <row r="12" spans="1:11" ht="18" customHeight="1" x14ac:dyDescent="0.25">
      <c r="A12" s="8">
        <v>11</v>
      </c>
      <c r="B12" s="8" t="s">
        <v>314</v>
      </c>
      <c r="C12" s="8">
        <v>1.1000000000000001</v>
      </c>
      <c r="D12" s="8">
        <v>210</v>
      </c>
      <c r="E12" s="8">
        <v>25</v>
      </c>
      <c r="F12" s="9">
        <v>3900000</v>
      </c>
      <c r="G12" s="10">
        <v>4300000</v>
      </c>
      <c r="H12" s="19">
        <v>9000000</v>
      </c>
      <c r="I12" s="12">
        <v>3100000</v>
      </c>
      <c r="J12" s="20">
        <v>2920000</v>
      </c>
      <c r="K12" s="39"/>
    </row>
    <row r="13" spans="1:11" ht="18" customHeight="1" x14ac:dyDescent="0.25">
      <c r="A13" s="14">
        <v>12</v>
      </c>
      <c r="B13" s="14" t="s">
        <v>315</v>
      </c>
      <c r="C13" s="14">
        <v>1.5</v>
      </c>
      <c r="D13" s="14">
        <v>220</v>
      </c>
      <c r="E13" s="14">
        <v>26</v>
      </c>
      <c r="F13" s="9">
        <v>4100000</v>
      </c>
      <c r="G13" s="10">
        <v>4600000</v>
      </c>
      <c r="H13" s="19">
        <v>9800000</v>
      </c>
      <c r="I13" s="15">
        <v>3300000</v>
      </c>
      <c r="J13" s="20">
        <v>3130000</v>
      </c>
      <c r="K13" s="39"/>
    </row>
    <row r="14" spans="1:11" ht="18" customHeight="1" x14ac:dyDescent="0.25">
      <c r="A14" s="8">
        <v>13</v>
      </c>
      <c r="B14" s="8" t="s">
        <v>316</v>
      </c>
      <c r="C14" s="8">
        <v>2.2000000000000002</v>
      </c>
      <c r="D14" s="8">
        <v>325</v>
      </c>
      <c r="E14" s="8">
        <v>36</v>
      </c>
      <c r="F14" s="9">
        <v>5400000</v>
      </c>
      <c r="G14" s="10">
        <v>6100000</v>
      </c>
      <c r="H14" s="19">
        <v>12600000</v>
      </c>
      <c r="I14" s="12">
        <v>4350000</v>
      </c>
      <c r="J14" s="20">
        <v>4250000</v>
      </c>
      <c r="K14" s="39"/>
    </row>
    <row r="15" spans="1:11" ht="18" customHeight="1" x14ac:dyDescent="0.25">
      <c r="A15" s="14">
        <v>14</v>
      </c>
      <c r="B15" s="14" t="s">
        <v>317</v>
      </c>
      <c r="C15" s="14">
        <v>3</v>
      </c>
      <c r="D15" s="14">
        <v>390</v>
      </c>
      <c r="E15" s="14">
        <v>37</v>
      </c>
      <c r="F15" s="9">
        <v>7400000</v>
      </c>
      <c r="G15" s="10">
        <v>8300000</v>
      </c>
      <c r="H15" s="19">
        <v>17200000</v>
      </c>
      <c r="I15" s="15">
        <v>5950000</v>
      </c>
      <c r="J15" s="20">
        <v>5832000</v>
      </c>
      <c r="K15" s="39"/>
    </row>
    <row r="16" spans="1:11" ht="18" customHeight="1" x14ac:dyDescent="0.25">
      <c r="A16" s="8">
        <v>15</v>
      </c>
      <c r="B16" s="8" t="s">
        <v>318</v>
      </c>
      <c r="C16" s="8">
        <v>4</v>
      </c>
      <c r="D16" s="8">
        <v>475</v>
      </c>
      <c r="E16" s="8">
        <v>38</v>
      </c>
      <c r="F16" s="9">
        <v>9000000</v>
      </c>
      <c r="G16" s="10">
        <v>10000000</v>
      </c>
      <c r="H16" s="19">
        <v>20400000</v>
      </c>
      <c r="I16" s="12">
        <v>7160000</v>
      </c>
      <c r="J16" s="20">
        <v>6920000</v>
      </c>
      <c r="K16" s="39"/>
    </row>
    <row r="17" spans="1:11" ht="18" customHeight="1" x14ac:dyDescent="0.25">
      <c r="A17" s="14">
        <v>16</v>
      </c>
      <c r="B17" s="14" t="s">
        <v>319</v>
      </c>
      <c r="C17" s="14">
        <v>5.5</v>
      </c>
      <c r="D17" s="14">
        <v>530</v>
      </c>
      <c r="E17" s="14">
        <v>42</v>
      </c>
      <c r="F17" s="9">
        <v>12300000</v>
      </c>
      <c r="G17" s="10">
        <v>13700000</v>
      </c>
      <c r="H17" s="19">
        <v>28000000</v>
      </c>
      <c r="I17" s="15">
        <v>9800000</v>
      </c>
      <c r="J17" s="20">
        <v>9500000</v>
      </c>
      <c r="K17" s="39"/>
    </row>
    <row r="18" spans="1:11" ht="18" customHeight="1" x14ac:dyDescent="0.25">
      <c r="A18" s="8">
        <v>17</v>
      </c>
      <c r="B18" s="8" t="s">
        <v>320</v>
      </c>
      <c r="C18" s="8">
        <v>7.5</v>
      </c>
      <c r="D18" s="8">
        <v>550</v>
      </c>
      <c r="E18" s="8">
        <v>45</v>
      </c>
      <c r="F18" s="9">
        <v>13100000</v>
      </c>
      <c r="G18" s="10">
        <v>14700000</v>
      </c>
      <c r="H18" s="19">
        <v>30000000</v>
      </c>
      <c r="I18" s="12">
        <v>10500000</v>
      </c>
      <c r="J18" s="20">
        <v>10150000</v>
      </c>
      <c r="K18" s="39"/>
    </row>
    <row r="19" spans="1:11" ht="18" customHeight="1" x14ac:dyDescent="0.25">
      <c r="A19" s="14">
        <v>18</v>
      </c>
      <c r="B19" s="14" t="s">
        <v>321</v>
      </c>
      <c r="C19" s="14">
        <v>9.5</v>
      </c>
      <c r="D19" s="15">
        <v>1000</v>
      </c>
      <c r="E19" s="14">
        <v>70</v>
      </c>
      <c r="F19" s="9">
        <v>29800000</v>
      </c>
      <c r="G19" s="10">
        <v>33400000</v>
      </c>
      <c r="H19" s="19">
        <v>65000000</v>
      </c>
      <c r="I19" s="15">
        <v>23850000</v>
      </c>
      <c r="J19" s="20">
        <v>22680000</v>
      </c>
      <c r="K19" s="39"/>
    </row>
    <row r="20" spans="1:11" ht="18" customHeight="1" x14ac:dyDescent="0.25">
      <c r="A20" s="8">
        <v>19</v>
      </c>
      <c r="B20" s="8" t="s">
        <v>322</v>
      </c>
      <c r="C20" s="8">
        <v>11</v>
      </c>
      <c r="D20" s="12">
        <v>1200</v>
      </c>
      <c r="E20" s="8">
        <v>75</v>
      </c>
      <c r="F20" s="9">
        <v>32500000</v>
      </c>
      <c r="G20" s="10">
        <v>36400000</v>
      </c>
      <c r="H20" s="19">
        <v>70200000</v>
      </c>
      <c r="I20" s="12">
        <v>26000000</v>
      </c>
      <c r="J20" s="20">
        <v>24840000</v>
      </c>
      <c r="K20" s="39"/>
    </row>
    <row r="21" spans="1:11" ht="18" customHeight="1" x14ac:dyDescent="0.25">
      <c r="A21" s="14">
        <v>20</v>
      </c>
      <c r="B21" s="14" t="s">
        <v>323</v>
      </c>
      <c r="C21" s="14">
        <v>15</v>
      </c>
      <c r="D21" s="15">
        <v>1037</v>
      </c>
      <c r="E21" s="14">
        <v>95</v>
      </c>
      <c r="F21" s="9">
        <v>35000000</v>
      </c>
      <c r="G21" s="10">
        <v>39200000</v>
      </c>
      <c r="H21" s="19">
        <v>77000000</v>
      </c>
      <c r="I21" s="15">
        <v>28000000</v>
      </c>
      <c r="J21" s="20">
        <v>27000000</v>
      </c>
      <c r="K21" s="39"/>
    </row>
    <row r="22" spans="1:11" ht="18" customHeight="1" x14ac:dyDescent="0.25">
      <c r="A22" s="8">
        <v>1</v>
      </c>
      <c r="B22" s="8" t="s">
        <v>324</v>
      </c>
      <c r="C22" s="8">
        <v>0.55000000000000004</v>
      </c>
      <c r="D22" s="8">
        <v>88</v>
      </c>
      <c r="E22" s="8">
        <v>30</v>
      </c>
      <c r="F22" s="9">
        <v>4700000</v>
      </c>
      <c r="G22" s="10">
        <v>5100000</v>
      </c>
      <c r="H22" s="19">
        <v>11200000</v>
      </c>
      <c r="I22" s="12">
        <v>3744000</v>
      </c>
      <c r="J22" s="20">
        <v>3500000</v>
      </c>
      <c r="K22" s="39" t="s">
        <v>325</v>
      </c>
    </row>
    <row r="23" spans="1:11" ht="18" customHeight="1" x14ac:dyDescent="0.25">
      <c r="A23" s="14">
        <v>2</v>
      </c>
      <c r="B23" s="14" t="s">
        <v>326</v>
      </c>
      <c r="C23" s="14">
        <v>0.75</v>
      </c>
      <c r="D23" s="14">
        <v>88</v>
      </c>
      <c r="E23" s="14">
        <v>31</v>
      </c>
      <c r="F23" s="9">
        <v>5600000</v>
      </c>
      <c r="G23" s="10">
        <v>6100000</v>
      </c>
      <c r="H23" s="19">
        <v>13600000</v>
      </c>
      <c r="I23" s="20">
        <v>4512000</v>
      </c>
      <c r="J23" s="15">
        <v>4530000</v>
      </c>
      <c r="K23" s="39"/>
    </row>
    <row r="24" spans="1:11" ht="18" customHeight="1" x14ac:dyDescent="0.25">
      <c r="A24" s="8">
        <v>3</v>
      </c>
      <c r="B24" s="8" t="s">
        <v>327</v>
      </c>
      <c r="C24" s="8">
        <v>1.1000000000000001</v>
      </c>
      <c r="D24" s="8">
        <v>145</v>
      </c>
      <c r="E24" s="8">
        <v>37</v>
      </c>
      <c r="F24" s="9">
        <v>6800000</v>
      </c>
      <c r="G24" s="10">
        <v>7400000</v>
      </c>
      <c r="H24" s="19">
        <v>16800000</v>
      </c>
      <c r="I24" s="20">
        <v>5472000</v>
      </c>
      <c r="J24" s="12">
        <v>5620000</v>
      </c>
      <c r="K24" s="39"/>
    </row>
    <row r="25" spans="1:11" ht="18" customHeight="1" x14ac:dyDescent="0.25">
      <c r="A25" s="14">
        <v>4</v>
      </c>
      <c r="B25" s="14" t="s">
        <v>328</v>
      </c>
      <c r="C25" s="14">
        <v>1.5</v>
      </c>
      <c r="D25" s="14">
        <v>145</v>
      </c>
      <c r="E25" s="14">
        <v>38</v>
      </c>
      <c r="F25" s="9">
        <v>9200000</v>
      </c>
      <c r="G25" s="10">
        <v>10000000</v>
      </c>
      <c r="H25" s="19">
        <v>22000000</v>
      </c>
      <c r="I25" s="20">
        <v>7392000</v>
      </c>
      <c r="J25" s="15">
        <v>7560000</v>
      </c>
      <c r="K25" s="39"/>
    </row>
    <row r="26" spans="1:11" ht="18" customHeight="1" x14ac:dyDescent="0.25">
      <c r="A26" s="8">
        <v>5</v>
      </c>
      <c r="B26" s="8" t="s">
        <v>329</v>
      </c>
      <c r="C26" s="8">
        <v>0.55000000000000004</v>
      </c>
      <c r="D26" s="8">
        <v>88</v>
      </c>
      <c r="E26" s="8">
        <v>30</v>
      </c>
      <c r="F26" s="9">
        <v>4700000</v>
      </c>
      <c r="G26" s="10">
        <v>5100000</v>
      </c>
      <c r="H26" s="19">
        <v>11200000</v>
      </c>
      <c r="I26" s="12">
        <v>3744000</v>
      </c>
      <c r="J26" s="20">
        <v>3500000</v>
      </c>
      <c r="K26" s="39"/>
    </row>
    <row r="27" spans="1:11" ht="18" customHeight="1" x14ac:dyDescent="0.25">
      <c r="A27" s="14">
        <v>6</v>
      </c>
      <c r="B27" s="14" t="s">
        <v>330</v>
      </c>
      <c r="C27" s="14">
        <v>0.75</v>
      </c>
      <c r="D27" s="14">
        <v>88</v>
      </c>
      <c r="E27" s="14">
        <v>31</v>
      </c>
      <c r="F27" s="9">
        <v>5600000</v>
      </c>
      <c r="G27" s="10">
        <v>6100000</v>
      </c>
      <c r="H27" s="19">
        <v>13600000</v>
      </c>
      <c r="I27" s="20">
        <v>4512000</v>
      </c>
      <c r="J27" s="15">
        <v>4530000</v>
      </c>
      <c r="K27" s="39"/>
    </row>
    <row r="28" spans="1:11" ht="18" customHeight="1" x14ac:dyDescent="0.25">
      <c r="A28" s="8">
        <v>7</v>
      </c>
      <c r="B28" s="8" t="s">
        <v>331</v>
      </c>
      <c r="C28" s="8">
        <v>1.1000000000000001</v>
      </c>
      <c r="D28" s="8">
        <v>145</v>
      </c>
      <c r="E28" s="8">
        <v>37</v>
      </c>
      <c r="F28" s="9">
        <v>6800000</v>
      </c>
      <c r="G28" s="10">
        <v>7400000</v>
      </c>
      <c r="H28" s="19">
        <v>16800000</v>
      </c>
      <c r="I28" s="20">
        <v>5472000</v>
      </c>
      <c r="J28" s="12">
        <v>5620000</v>
      </c>
      <c r="K28" s="39"/>
    </row>
    <row r="29" spans="1:11" ht="18" customHeight="1" x14ac:dyDescent="0.25">
      <c r="A29" s="14">
        <v>8</v>
      </c>
      <c r="B29" s="14" t="s">
        <v>332</v>
      </c>
      <c r="C29" s="14">
        <v>1.5</v>
      </c>
      <c r="D29" s="14">
        <v>145</v>
      </c>
      <c r="E29" s="14">
        <v>38</v>
      </c>
      <c r="F29" s="9">
        <v>9200000</v>
      </c>
      <c r="G29" s="10">
        <v>10000000</v>
      </c>
      <c r="H29" s="19">
        <v>22200000</v>
      </c>
      <c r="I29" s="20">
        <v>7392000</v>
      </c>
      <c r="J29" s="15">
        <v>7560000</v>
      </c>
      <c r="K29" s="39"/>
    </row>
    <row r="30" spans="1:11" ht="18" customHeight="1" x14ac:dyDescent="0.25">
      <c r="A30" s="8">
        <v>9</v>
      </c>
      <c r="B30" s="8" t="s">
        <v>333</v>
      </c>
      <c r="C30" s="8">
        <v>2.2000000000000002</v>
      </c>
      <c r="D30" s="8">
        <v>220</v>
      </c>
      <c r="E30" s="8">
        <v>42</v>
      </c>
      <c r="F30" s="9">
        <v>10600000</v>
      </c>
      <c r="G30" s="10">
        <v>11400000</v>
      </c>
      <c r="H30" s="19">
        <v>25800000</v>
      </c>
      <c r="I30" s="20">
        <v>8448000</v>
      </c>
      <c r="J30" s="12">
        <v>8850000</v>
      </c>
      <c r="K30" s="39"/>
    </row>
    <row r="31" spans="1:11" ht="18" customHeight="1" x14ac:dyDescent="0.25">
      <c r="A31" s="14">
        <v>10</v>
      </c>
      <c r="B31" s="14" t="s">
        <v>334</v>
      </c>
      <c r="C31" s="14">
        <v>3</v>
      </c>
      <c r="D31" s="14">
        <v>220</v>
      </c>
      <c r="E31" s="14">
        <v>43</v>
      </c>
      <c r="F31" s="9">
        <v>12100000</v>
      </c>
      <c r="G31" s="10">
        <v>13100000</v>
      </c>
      <c r="H31" s="19">
        <v>29200000</v>
      </c>
      <c r="I31" s="20">
        <v>9696000</v>
      </c>
      <c r="J31" s="15">
        <v>9940000</v>
      </c>
      <c r="K31" s="39"/>
    </row>
    <row r="32" spans="1:11" ht="18" customHeight="1" x14ac:dyDescent="0.25">
      <c r="A32" s="8">
        <v>11</v>
      </c>
      <c r="B32" s="8" t="s">
        <v>335</v>
      </c>
      <c r="C32" s="8">
        <v>4</v>
      </c>
      <c r="D32" s="8">
        <v>325</v>
      </c>
      <c r="E32" s="8">
        <v>57</v>
      </c>
      <c r="F32" s="9">
        <v>13800000</v>
      </c>
      <c r="G32" s="10">
        <v>14900000</v>
      </c>
      <c r="H32" s="19">
        <v>33400000</v>
      </c>
      <c r="I32" s="20">
        <v>11040000</v>
      </c>
      <c r="J32" s="12">
        <v>11340000</v>
      </c>
      <c r="K32" s="39"/>
    </row>
    <row r="33" spans="1:11" ht="18" customHeight="1" x14ac:dyDescent="0.25">
      <c r="A33" s="14">
        <v>12</v>
      </c>
      <c r="B33" s="14" t="s">
        <v>336</v>
      </c>
      <c r="C33" s="14">
        <v>5.5</v>
      </c>
      <c r="D33" s="14">
        <v>325</v>
      </c>
      <c r="E33" s="14">
        <v>63</v>
      </c>
      <c r="F33" s="9">
        <v>15200000</v>
      </c>
      <c r="G33" s="10">
        <v>16500000</v>
      </c>
      <c r="H33" s="19">
        <v>36400000</v>
      </c>
      <c r="I33" s="20">
        <v>12192000</v>
      </c>
      <c r="J33" s="15">
        <v>12420000</v>
      </c>
      <c r="K33" s="39"/>
    </row>
  </sheetData>
  <mergeCells count="2">
    <mergeCell ref="K2:K21"/>
    <mergeCell ref="K22:K3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zoomScaleNormal="100" workbookViewId="0">
      <pane ySplit="1" topLeftCell="A22" activePane="bottomLeft" state="frozen"/>
      <selection pane="bottomLeft" activeCell="J52" sqref="J52"/>
    </sheetView>
  </sheetViews>
  <sheetFormatPr defaultColWidth="8.7109375" defaultRowHeight="15" x14ac:dyDescent="0.25"/>
  <cols>
    <col min="1" max="1" width="5" style="1" customWidth="1"/>
    <col min="2" max="2" width="24" style="1" customWidth="1"/>
    <col min="3" max="4" width="12" style="1" customWidth="1"/>
    <col min="5" max="5" width="13" style="1" customWidth="1"/>
    <col min="6" max="6" width="11" style="1" customWidth="1"/>
    <col min="7" max="9" width="13" style="24" customWidth="1"/>
    <col min="10" max="12" width="14" style="1" customWidth="1"/>
    <col min="13" max="13" width="9" style="1" customWidth="1"/>
  </cols>
  <sheetData>
    <row r="1" spans="1:12" ht="30" customHeight="1" x14ac:dyDescent="0.25">
      <c r="A1" s="2" t="s">
        <v>0</v>
      </c>
      <c r="B1" s="2" t="s">
        <v>1</v>
      </c>
      <c r="C1" s="2" t="s">
        <v>337</v>
      </c>
      <c r="D1" s="2" t="s">
        <v>338</v>
      </c>
      <c r="E1" s="2" t="s">
        <v>104</v>
      </c>
      <c r="F1" s="2" t="s">
        <v>105</v>
      </c>
      <c r="G1" s="25" t="s">
        <v>6</v>
      </c>
      <c r="H1" s="26" t="s">
        <v>7</v>
      </c>
      <c r="I1" s="27" t="s">
        <v>8</v>
      </c>
      <c r="J1" s="6" t="s">
        <v>301</v>
      </c>
      <c r="K1" s="6" t="s">
        <v>195</v>
      </c>
      <c r="L1" s="2" t="s">
        <v>13</v>
      </c>
    </row>
    <row r="2" spans="1:12" ht="18" customHeight="1" x14ac:dyDescent="0.25">
      <c r="A2" s="14">
        <v>6</v>
      </c>
      <c r="B2" s="14" t="s">
        <v>339</v>
      </c>
      <c r="C2" s="14">
        <v>0.75</v>
      </c>
      <c r="D2" s="8" t="s">
        <v>340</v>
      </c>
      <c r="E2" s="14" t="s">
        <v>341</v>
      </c>
      <c r="F2" s="14" t="s">
        <v>342</v>
      </c>
      <c r="G2" s="9">
        <v>7600000</v>
      </c>
      <c r="H2" s="10">
        <v>8600000</v>
      </c>
      <c r="I2" s="19">
        <v>14500000</v>
      </c>
      <c r="J2" s="14"/>
      <c r="K2" s="14"/>
      <c r="L2" s="39"/>
    </row>
    <row r="3" spans="1:12" ht="18" customHeight="1" x14ac:dyDescent="0.25">
      <c r="A3" s="14">
        <v>8</v>
      </c>
      <c r="B3" s="14" t="s">
        <v>343</v>
      </c>
      <c r="C3" s="14">
        <v>1.1000000000000001</v>
      </c>
      <c r="D3" s="8" t="s">
        <v>340</v>
      </c>
      <c r="E3" s="14" t="s">
        <v>341</v>
      </c>
      <c r="F3" s="14" t="s">
        <v>344</v>
      </c>
      <c r="G3" s="9">
        <v>8000000</v>
      </c>
      <c r="H3" s="10">
        <v>9000000</v>
      </c>
      <c r="I3" s="19">
        <v>15000000</v>
      </c>
      <c r="J3" s="14"/>
      <c r="K3" s="14"/>
      <c r="L3" s="39"/>
    </row>
    <row r="4" spans="1:12" ht="18" customHeight="1" x14ac:dyDescent="0.25">
      <c r="A4" s="14">
        <v>10</v>
      </c>
      <c r="B4" s="14" t="s">
        <v>345</v>
      </c>
      <c r="C4" s="14">
        <v>1.5</v>
      </c>
      <c r="D4" s="8" t="s">
        <v>340</v>
      </c>
      <c r="E4" s="14" t="s">
        <v>341</v>
      </c>
      <c r="F4" s="14" t="s">
        <v>346</v>
      </c>
      <c r="G4" s="9">
        <v>8100000</v>
      </c>
      <c r="H4" s="10">
        <v>9100000</v>
      </c>
      <c r="I4" s="19">
        <v>15200000</v>
      </c>
      <c r="J4" s="15">
        <v>6300000</v>
      </c>
      <c r="K4" s="20">
        <v>6200000</v>
      </c>
      <c r="L4" s="39"/>
    </row>
    <row r="5" spans="1:12" ht="18" customHeight="1" x14ac:dyDescent="0.25">
      <c r="A5" s="14">
        <v>10</v>
      </c>
      <c r="B5" s="14" t="s">
        <v>347</v>
      </c>
      <c r="C5" s="14">
        <v>1.5</v>
      </c>
      <c r="D5" s="8" t="s">
        <v>340</v>
      </c>
      <c r="E5" s="14" t="s">
        <v>341</v>
      </c>
      <c r="F5" s="14" t="s">
        <v>346</v>
      </c>
      <c r="G5" s="9">
        <v>8300000</v>
      </c>
      <c r="H5" s="10">
        <v>9200000</v>
      </c>
      <c r="I5" s="19">
        <v>15700000</v>
      </c>
      <c r="J5" s="15">
        <v>6600000</v>
      </c>
      <c r="K5" s="20">
        <v>6500000</v>
      </c>
      <c r="L5" s="39"/>
    </row>
    <row r="6" spans="1:12" ht="18" customHeight="1" x14ac:dyDescent="0.25">
      <c r="A6" s="8">
        <v>11</v>
      </c>
      <c r="B6" s="8" t="s">
        <v>348</v>
      </c>
      <c r="C6" s="8">
        <v>2.2000000000000002</v>
      </c>
      <c r="D6" s="8" t="s">
        <v>340</v>
      </c>
      <c r="E6" s="8" t="s">
        <v>341</v>
      </c>
      <c r="F6" s="8" t="s">
        <v>349</v>
      </c>
      <c r="G6" s="9">
        <v>9000000</v>
      </c>
      <c r="H6" s="10">
        <v>10500000</v>
      </c>
      <c r="I6" s="19">
        <v>18000000</v>
      </c>
      <c r="J6" s="28">
        <v>7200000</v>
      </c>
      <c r="K6" s="20">
        <v>7200000</v>
      </c>
      <c r="L6" s="39"/>
    </row>
    <row r="7" spans="1:12" ht="18" customHeight="1" x14ac:dyDescent="0.25">
      <c r="A7" s="8">
        <v>11</v>
      </c>
      <c r="B7" s="8" t="s">
        <v>350</v>
      </c>
      <c r="C7" s="8">
        <v>2.2000000000000002</v>
      </c>
      <c r="D7" s="8" t="s">
        <v>340</v>
      </c>
      <c r="E7" s="8" t="s">
        <v>341</v>
      </c>
      <c r="F7" s="8" t="s">
        <v>349</v>
      </c>
      <c r="G7" s="9">
        <v>10300000</v>
      </c>
      <c r="H7" s="10">
        <v>11500000</v>
      </c>
      <c r="I7" s="19">
        <v>19500000</v>
      </c>
      <c r="J7" s="28">
        <v>8200000</v>
      </c>
      <c r="K7" s="20">
        <v>8200000</v>
      </c>
      <c r="L7" s="39"/>
    </row>
    <row r="8" spans="1:12" ht="18" customHeight="1" x14ac:dyDescent="0.25">
      <c r="A8" s="8">
        <v>13</v>
      </c>
      <c r="B8" s="8" t="s">
        <v>351</v>
      </c>
      <c r="C8" s="8">
        <v>3</v>
      </c>
      <c r="D8" s="8" t="s">
        <v>340</v>
      </c>
      <c r="E8" s="8" t="s">
        <v>341</v>
      </c>
      <c r="F8" s="8" t="s">
        <v>352</v>
      </c>
      <c r="G8" s="9">
        <v>9900000</v>
      </c>
      <c r="H8" s="10">
        <v>11100000</v>
      </c>
      <c r="I8" s="19">
        <v>18900000</v>
      </c>
      <c r="J8" s="12">
        <v>7900000</v>
      </c>
      <c r="K8" s="20">
        <v>7700000</v>
      </c>
      <c r="L8" s="39"/>
    </row>
    <row r="9" spans="1:12" ht="18" customHeight="1" x14ac:dyDescent="0.25">
      <c r="A9" s="8">
        <v>22</v>
      </c>
      <c r="B9" s="8" t="s">
        <v>353</v>
      </c>
      <c r="C9" s="8">
        <v>2.2000000000000002</v>
      </c>
      <c r="D9" s="14" t="s">
        <v>354</v>
      </c>
      <c r="E9" s="8" t="s">
        <v>355</v>
      </c>
      <c r="F9" s="8" t="s">
        <v>356</v>
      </c>
      <c r="G9" s="9">
        <v>8300000</v>
      </c>
      <c r="H9" s="10">
        <v>9200000</v>
      </c>
      <c r="I9" s="19">
        <v>15800000</v>
      </c>
      <c r="J9" s="28">
        <v>6700000</v>
      </c>
      <c r="K9" s="20">
        <v>6600000</v>
      </c>
      <c r="L9" s="39"/>
    </row>
    <row r="10" spans="1:12" ht="18" customHeight="1" x14ac:dyDescent="0.25">
      <c r="A10" s="8">
        <v>22</v>
      </c>
      <c r="B10" s="8" t="s">
        <v>357</v>
      </c>
      <c r="C10" s="8">
        <v>2.2000000000000002</v>
      </c>
      <c r="D10" s="14" t="s">
        <v>354</v>
      </c>
      <c r="E10" s="8" t="s">
        <v>355</v>
      </c>
      <c r="F10" s="8" t="s">
        <v>356</v>
      </c>
      <c r="G10" s="9">
        <v>9800000</v>
      </c>
      <c r="H10" s="10">
        <v>11000000</v>
      </c>
      <c r="I10" s="19">
        <v>18600000</v>
      </c>
      <c r="J10" s="28">
        <v>7600000</v>
      </c>
      <c r="K10" s="20">
        <v>7500000</v>
      </c>
      <c r="L10" s="39"/>
    </row>
    <row r="11" spans="1:12" ht="18" customHeight="1" x14ac:dyDescent="0.25">
      <c r="A11" s="8">
        <v>24</v>
      </c>
      <c r="B11" s="8" t="s">
        <v>358</v>
      </c>
      <c r="C11" s="8">
        <v>3</v>
      </c>
      <c r="D11" s="14" t="s">
        <v>354</v>
      </c>
      <c r="E11" s="8" t="s">
        <v>355</v>
      </c>
      <c r="F11" s="8" t="s">
        <v>359</v>
      </c>
      <c r="G11" s="9">
        <v>9900000</v>
      </c>
      <c r="H11" s="10">
        <v>11100000</v>
      </c>
      <c r="I11" s="19">
        <v>18900000</v>
      </c>
      <c r="J11" s="12">
        <v>7900000</v>
      </c>
      <c r="K11" s="20">
        <v>7700000</v>
      </c>
      <c r="L11" s="39"/>
    </row>
    <row r="12" spans="1:12" ht="18" customHeight="1" x14ac:dyDescent="0.25">
      <c r="A12" s="14">
        <v>25</v>
      </c>
      <c r="B12" s="14" t="s">
        <v>360</v>
      </c>
      <c r="C12" s="14">
        <v>4</v>
      </c>
      <c r="D12" s="14" t="s">
        <v>354</v>
      </c>
      <c r="E12" s="14" t="s">
        <v>355</v>
      </c>
      <c r="F12" s="14" t="s">
        <v>361</v>
      </c>
      <c r="G12" s="9">
        <v>11900000</v>
      </c>
      <c r="H12" s="10">
        <v>13300000</v>
      </c>
      <c r="I12" s="19">
        <v>22500000</v>
      </c>
      <c r="J12" s="15">
        <v>9500000</v>
      </c>
      <c r="K12" s="20">
        <v>9400000</v>
      </c>
      <c r="L12" s="39"/>
    </row>
    <row r="13" spans="1:12" ht="18" customHeight="1" x14ac:dyDescent="0.25">
      <c r="A13" s="8">
        <v>32</v>
      </c>
      <c r="B13" s="8" t="s">
        <v>362</v>
      </c>
      <c r="C13" s="8">
        <v>3</v>
      </c>
      <c r="D13" s="8" t="s">
        <v>363</v>
      </c>
      <c r="E13" s="8" t="s">
        <v>364</v>
      </c>
      <c r="F13" s="8" t="s">
        <v>365</v>
      </c>
      <c r="G13" s="9">
        <v>9900000</v>
      </c>
      <c r="H13" s="10">
        <v>11100000</v>
      </c>
      <c r="I13" s="19">
        <v>18900000</v>
      </c>
      <c r="J13" s="12">
        <v>7900000</v>
      </c>
      <c r="K13" s="20">
        <v>7700000</v>
      </c>
      <c r="L13" s="39"/>
    </row>
    <row r="14" spans="1:12" ht="18" customHeight="1" x14ac:dyDescent="0.25">
      <c r="A14" s="8">
        <v>34</v>
      </c>
      <c r="B14" s="8" t="s">
        <v>366</v>
      </c>
      <c r="C14" s="8">
        <v>4</v>
      </c>
      <c r="D14" s="8" t="s">
        <v>363</v>
      </c>
      <c r="E14" s="8" t="s">
        <v>364</v>
      </c>
      <c r="F14" s="8" t="s">
        <v>367</v>
      </c>
      <c r="G14" s="9">
        <v>15500000</v>
      </c>
      <c r="H14" s="10">
        <v>17500000</v>
      </c>
      <c r="I14" s="19">
        <v>29800000</v>
      </c>
      <c r="J14" s="12">
        <v>12100000</v>
      </c>
      <c r="K14" s="20">
        <v>12000000</v>
      </c>
      <c r="L14" s="39"/>
    </row>
    <row r="15" spans="1:12" ht="18" customHeight="1" x14ac:dyDescent="0.25">
      <c r="A15" s="8">
        <v>36</v>
      </c>
      <c r="B15" s="8" t="s">
        <v>368</v>
      </c>
      <c r="C15" s="8">
        <v>5.5</v>
      </c>
      <c r="D15" s="8" t="s">
        <v>363</v>
      </c>
      <c r="E15" s="8" t="s">
        <v>364</v>
      </c>
      <c r="F15" s="8" t="s">
        <v>369</v>
      </c>
      <c r="G15" s="9">
        <v>17800000</v>
      </c>
      <c r="H15" s="10">
        <v>19900000</v>
      </c>
      <c r="I15" s="19">
        <v>33700000</v>
      </c>
      <c r="J15" s="12">
        <v>14200000</v>
      </c>
      <c r="K15" s="20">
        <v>14000000</v>
      </c>
      <c r="L15" s="39"/>
    </row>
    <row r="16" spans="1:12" ht="18" customHeight="1" x14ac:dyDescent="0.25">
      <c r="A16" s="8">
        <v>38</v>
      </c>
      <c r="B16" s="8" t="s">
        <v>370</v>
      </c>
      <c r="C16" s="8">
        <v>7.5</v>
      </c>
      <c r="D16" s="8" t="s">
        <v>363</v>
      </c>
      <c r="E16" s="8" t="s">
        <v>364</v>
      </c>
      <c r="F16" s="8" t="s">
        <v>371</v>
      </c>
      <c r="G16" s="9">
        <v>20600000</v>
      </c>
      <c r="H16" s="10">
        <v>23100000</v>
      </c>
      <c r="I16" s="19">
        <v>37800000</v>
      </c>
      <c r="J16" s="12">
        <v>16500000</v>
      </c>
      <c r="K16" s="20">
        <v>16200000</v>
      </c>
      <c r="L16" s="39"/>
    </row>
    <row r="17" spans="1:12" ht="18" customHeight="1" x14ac:dyDescent="0.25">
      <c r="A17" s="14">
        <v>43</v>
      </c>
      <c r="B17" s="14" t="s">
        <v>372</v>
      </c>
      <c r="C17" s="14">
        <v>4</v>
      </c>
      <c r="D17" s="14" t="s">
        <v>373</v>
      </c>
      <c r="E17" s="14" t="s">
        <v>374</v>
      </c>
      <c r="F17" s="14" t="s">
        <v>375</v>
      </c>
      <c r="G17" s="9">
        <v>15500000</v>
      </c>
      <c r="H17" s="10">
        <v>17500000</v>
      </c>
      <c r="I17" s="19">
        <v>29800000</v>
      </c>
      <c r="J17" s="12">
        <v>12100000</v>
      </c>
      <c r="K17" s="20">
        <v>12000000</v>
      </c>
      <c r="L17" s="39"/>
    </row>
    <row r="18" spans="1:12" ht="18" customHeight="1" x14ac:dyDescent="0.25">
      <c r="A18" s="14">
        <v>45</v>
      </c>
      <c r="B18" s="14" t="s">
        <v>376</v>
      </c>
      <c r="C18" s="14">
        <v>5.5</v>
      </c>
      <c r="D18" s="14" t="s">
        <v>373</v>
      </c>
      <c r="E18" s="14" t="s">
        <v>374</v>
      </c>
      <c r="F18" s="14" t="s">
        <v>377</v>
      </c>
      <c r="G18" s="9">
        <v>17800000</v>
      </c>
      <c r="H18" s="10">
        <v>19900000</v>
      </c>
      <c r="I18" s="19">
        <v>33700000</v>
      </c>
      <c r="J18" s="15">
        <v>14200000</v>
      </c>
      <c r="K18" s="20">
        <v>14000000</v>
      </c>
      <c r="L18" s="39"/>
    </row>
    <row r="19" spans="1:12" ht="18" customHeight="1" x14ac:dyDescent="0.25">
      <c r="A19" s="8">
        <v>48</v>
      </c>
      <c r="B19" s="8" t="s">
        <v>378</v>
      </c>
      <c r="C19" s="8">
        <v>7.5</v>
      </c>
      <c r="D19" s="14" t="s">
        <v>373</v>
      </c>
      <c r="E19" s="8" t="s">
        <v>374</v>
      </c>
      <c r="F19" s="8" t="s">
        <v>379</v>
      </c>
      <c r="G19" s="9">
        <v>20600000</v>
      </c>
      <c r="H19" s="10">
        <v>23100000</v>
      </c>
      <c r="I19" s="19">
        <v>37800000</v>
      </c>
      <c r="J19" s="12">
        <v>16500000</v>
      </c>
      <c r="K19" s="20">
        <v>16200000</v>
      </c>
      <c r="L19" s="39"/>
    </row>
    <row r="20" spans="1:12" ht="18" customHeight="1" x14ac:dyDescent="0.25">
      <c r="A20" s="8">
        <v>50</v>
      </c>
      <c r="B20" s="8" t="s">
        <v>380</v>
      </c>
      <c r="C20" s="8">
        <v>11</v>
      </c>
      <c r="D20" s="14" t="s">
        <v>373</v>
      </c>
      <c r="E20" s="8" t="s">
        <v>374</v>
      </c>
      <c r="F20" s="8" t="s">
        <v>381</v>
      </c>
      <c r="G20" s="9">
        <v>25000000</v>
      </c>
      <c r="H20" s="10">
        <v>28000000</v>
      </c>
      <c r="I20" s="19">
        <v>45200000</v>
      </c>
      <c r="J20" s="12">
        <v>20000000</v>
      </c>
      <c r="K20" s="20">
        <v>19500000</v>
      </c>
      <c r="L20" s="39"/>
    </row>
    <row r="21" spans="1:12" ht="18" customHeight="1" x14ac:dyDescent="0.25">
      <c r="A21" s="8">
        <v>56</v>
      </c>
      <c r="B21" s="8" t="s">
        <v>382</v>
      </c>
      <c r="C21" s="8">
        <v>5.5</v>
      </c>
      <c r="D21" s="14" t="s">
        <v>373</v>
      </c>
      <c r="E21" s="8" t="s">
        <v>383</v>
      </c>
      <c r="F21" s="8" t="s">
        <v>384</v>
      </c>
      <c r="G21" s="9">
        <v>17800000</v>
      </c>
      <c r="H21" s="10">
        <v>19900000</v>
      </c>
      <c r="I21" s="19">
        <v>33700000</v>
      </c>
      <c r="J21" s="12">
        <v>14200000</v>
      </c>
      <c r="K21" s="20">
        <v>14000000</v>
      </c>
      <c r="L21" s="39"/>
    </row>
    <row r="22" spans="1:12" ht="18" customHeight="1" x14ac:dyDescent="0.25">
      <c r="A22" s="14">
        <v>57</v>
      </c>
      <c r="B22" s="14" t="s">
        <v>385</v>
      </c>
      <c r="C22" s="14">
        <v>7.5</v>
      </c>
      <c r="D22" s="14" t="s">
        <v>373</v>
      </c>
      <c r="E22" s="14" t="s">
        <v>383</v>
      </c>
      <c r="F22" s="14" t="s">
        <v>386</v>
      </c>
      <c r="G22" s="9">
        <v>20600000</v>
      </c>
      <c r="H22" s="10">
        <v>23100000</v>
      </c>
      <c r="I22" s="19">
        <v>37800000</v>
      </c>
      <c r="J22" s="15">
        <v>16500000</v>
      </c>
      <c r="K22" s="20">
        <v>16200000</v>
      </c>
      <c r="L22" s="39"/>
    </row>
    <row r="23" spans="1:12" ht="18" customHeight="1" x14ac:dyDescent="0.25">
      <c r="A23" s="8">
        <v>58</v>
      </c>
      <c r="B23" s="8" t="s">
        <v>387</v>
      </c>
      <c r="C23" s="8">
        <v>7.5</v>
      </c>
      <c r="D23" s="14" t="s">
        <v>373</v>
      </c>
      <c r="E23" s="8" t="s">
        <v>383</v>
      </c>
      <c r="F23" s="8" t="s">
        <v>388</v>
      </c>
      <c r="G23" s="9">
        <v>20600000</v>
      </c>
      <c r="H23" s="10">
        <v>23100000</v>
      </c>
      <c r="I23" s="19">
        <v>37800000</v>
      </c>
      <c r="J23" s="12">
        <v>16500000</v>
      </c>
      <c r="K23" s="20">
        <v>16200000</v>
      </c>
      <c r="L23" s="39"/>
    </row>
    <row r="24" spans="1:12" ht="18" customHeight="1" x14ac:dyDescent="0.25">
      <c r="A24" s="14">
        <v>59</v>
      </c>
      <c r="B24" s="14" t="s">
        <v>389</v>
      </c>
      <c r="C24" s="14">
        <v>11</v>
      </c>
      <c r="D24" s="14" t="s">
        <v>373</v>
      </c>
      <c r="E24" s="14" t="s">
        <v>383</v>
      </c>
      <c r="F24" s="14" t="s">
        <v>390</v>
      </c>
      <c r="G24" s="9">
        <v>25000000</v>
      </c>
      <c r="H24" s="10">
        <v>28000000</v>
      </c>
      <c r="I24" s="19">
        <v>45200000</v>
      </c>
      <c r="J24" s="15">
        <v>20000000</v>
      </c>
      <c r="K24" s="20">
        <v>19500000</v>
      </c>
      <c r="L24" s="39"/>
    </row>
    <row r="25" spans="1:12" ht="18" customHeight="1" x14ac:dyDescent="0.25">
      <c r="A25" s="8">
        <v>60</v>
      </c>
      <c r="B25" s="8" t="s">
        <v>391</v>
      </c>
      <c r="C25" s="8">
        <v>11</v>
      </c>
      <c r="D25" s="14" t="s">
        <v>373</v>
      </c>
      <c r="E25" s="8" t="s">
        <v>383</v>
      </c>
      <c r="F25" s="8" t="s">
        <v>392</v>
      </c>
      <c r="G25" s="9">
        <v>25000000</v>
      </c>
      <c r="H25" s="10">
        <v>28000000</v>
      </c>
      <c r="I25" s="19">
        <v>45200000</v>
      </c>
      <c r="J25" s="12">
        <v>20000000</v>
      </c>
      <c r="K25" s="20">
        <v>19500000</v>
      </c>
      <c r="L25" s="39"/>
    </row>
    <row r="26" spans="1:12" ht="18" customHeight="1" x14ac:dyDescent="0.25">
      <c r="A26" s="14">
        <v>61</v>
      </c>
      <c r="B26" s="14" t="s">
        <v>393</v>
      </c>
      <c r="C26" s="14">
        <v>15</v>
      </c>
      <c r="D26" s="14" t="s">
        <v>373</v>
      </c>
      <c r="E26" s="14" t="s">
        <v>383</v>
      </c>
      <c r="F26" s="14" t="s">
        <v>394</v>
      </c>
      <c r="G26" s="9">
        <v>27500000</v>
      </c>
      <c r="H26" s="10">
        <v>30800000</v>
      </c>
      <c r="I26" s="19">
        <v>50000000</v>
      </c>
      <c r="J26" s="15">
        <v>22000000</v>
      </c>
      <c r="K26" s="20">
        <v>21500000</v>
      </c>
      <c r="L26" s="39"/>
    </row>
    <row r="27" spans="1:12" ht="18" customHeight="1" x14ac:dyDescent="0.25">
      <c r="A27" s="8">
        <v>62</v>
      </c>
      <c r="B27" s="8" t="s">
        <v>395</v>
      </c>
      <c r="C27" s="8">
        <v>15</v>
      </c>
      <c r="D27" s="14" t="s">
        <v>373</v>
      </c>
      <c r="E27" s="8" t="s">
        <v>383</v>
      </c>
      <c r="F27" s="8" t="s">
        <v>396</v>
      </c>
      <c r="G27" s="9">
        <v>27500000</v>
      </c>
      <c r="H27" s="10">
        <v>30800000</v>
      </c>
      <c r="I27" s="19">
        <v>50000000</v>
      </c>
      <c r="J27" s="12">
        <v>22000000</v>
      </c>
      <c r="K27" s="20">
        <v>21500000</v>
      </c>
      <c r="L27" s="39"/>
    </row>
    <row r="28" spans="1:12" ht="18" customHeight="1" x14ac:dyDescent="0.25">
      <c r="A28" s="14">
        <v>66</v>
      </c>
      <c r="B28" s="14" t="s">
        <v>397</v>
      </c>
      <c r="C28" s="14">
        <v>5.5</v>
      </c>
      <c r="D28" s="14" t="s">
        <v>373</v>
      </c>
      <c r="E28" s="14" t="s">
        <v>398</v>
      </c>
      <c r="F28" s="14" t="s">
        <v>399</v>
      </c>
      <c r="G28" s="9">
        <v>17800000</v>
      </c>
      <c r="H28" s="10">
        <v>19900000</v>
      </c>
      <c r="I28" s="19">
        <v>33700000</v>
      </c>
      <c r="J28" s="15">
        <v>14200000</v>
      </c>
      <c r="K28" s="20">
        <v>14000000</v>
      </c>
      <c r="L28" s="39"/>
    </row>
    <row r="29" spans="1:12" ht="18" customHeight="1" x14ac:dyDescent="0.25">
      <c r="A29" s="14">
        <v>68</v>
      </c>
      <c r="B29" s="14" t="s">
        <v>400</v>
      </c>
      <c r="C29" s="14">
        <v>7.5</v>
      </c>
      <c r="D29" s="14" t="s">
        <v>373</v>
      </c>
      <c r="E29" s="14" t="s">
        <v>398</v>
      </c>
      <c r="F29" s="14" t="s">
        <v>401</v>
      </c>
      <c r="G29" s="9">
        <v>20600000</v>
      </c>
      <c r="H29" s="10">
        <v>23100000</v>
      </c>
      <c r="I29" s="19">
        <v>37800000</v>
      </c>
      <c r="J29" s="15">
        <v>16500000</v>
      </c>
      <c r="K29" s="20">
        <v>16200000</v>
      </c>
      <c r="L29" s="39"/>
    </row>
    <row r="30" spans="1:12" ht="18" customHeight="1" x14ac:dyDescent="0.25">
      <c r="A30" s="14">
        <v>70</v>
      </c>
      <c r="B30" s="14" t="s">
        <v>402</v>
      </c>
      <c r="C30" s="14">
        <v>11</v>
      </c>
      <c r="D30" s="14" t="s">
        <v>373</v>
      </c>
      <c r="E30" s="14" t="s">
        <v>398</v>
      </c>
      <c r="F30" s="14" t="s">
        <v>403</v>
      </c>
      <c r="G30" s="9">
        <v>25000000</v>
      </c>
      <c r="H30" s="10">
        <v>28000000</v>
      </c>
      <c r="I30" s="19">
        <v>45200000</v>
      </c>
      <c r="J30" s="15">
        <v>20000000</v>
      </c>
      <c r="K30" s="20">
        <v>19500000</v>
      </c>
      <c r="L30" s="39"/>
    </row>
    <row r="31" spans="1:12" ht="18" customHeight="1" x14ac:dyDescent="0.25">
      <c r="A31" s="8">
        <v>73</v>
      </c>
      <c r="B31" s="8" t="s">
        <v>404</v>
      </c>
      <c r="C31" s="8">
        <v>15</v>
      </c>
      <c r="D31" s="14" t="s">
        <v>373</v>
      </c>
      <c r="E31" s="8" t="s">
        <v>398</v>
      </c>
      <c r="F31" s="8" t="s">
        <v>405</v>
      </c>
      <c r="G31" s="9">
        <v>27500000</v>
      </c>
      <c r="H31" s="10">
        <v>30800000</v>
      </c>
      <c r="I31" s="19">
        <v>50000000</v>
      </c>
      <c r="J31" s="12">
        <v>22000000</v>
      </c>
      <c r="K31" s="20">
        <v>21500000</v>
      </c>
      <c r="L31" s="39"/>
    </row>
    <row r="32" spans="1:12" ht="18" customHeight="1" x14ac:dyDescent="0.25">
      <c r="A32" s="14">
        <v>74</v>
      </c>
      <c r="B32" s="14" t="s">
        <v>406</v>
      </c>
      <c r="C32" s="14">
        <v>18.5</v>
      </c>
      <c r="D32" s="14" t="s">
        <v>373</v>
      </c>
      <c r="E32" s="14" t="s">
        <v>398</v>
      </c>
      <c r="F32" s="14" t="s">
        <v>407</v>
      </c>
      <c r="G32" s="9">
        <v>35600000</v>
      </c>
      <c r="H32" s="10">
        <v>39900000</v>
      </c>
      <c r="I32" s="19">
        <v>64300000</v>
      </c>
      <c r="J32" s="15">
        <v>28500000</v>
      </c>
      <c r="K32" s="20">
        <v>28000000</v>
      </c>
      <c r="L32" s="39"/>
    </row>
    <row r="33" spans="1:12" ht="18" customHeight="1" x14ac:dyDescent="0.25">
      <c r="A33" s="8">
        <v>81</v>
      </c>
      <c r="B33" s="8" t="s">
        <v>408</v>
      </c>
      <c r="C33" s="8">
        <v>7.5</v>
      </c>
      <c r="D33" s="8" t="s">
        <v>409</v>
      </c>
      <c r="E33" s="8" t="s">
        <v>410</v>
      </c>
      <c r="F33" s="8" t="s">
        <v>411</v>
      </c>
      <c r="G33" s="9">
        <v>25000000</v>
      </c>
      <c r="H33" s="10">
        <v>28000000</v>
      </c>
      <c r="I33" s="19">
        <v>45200000</v>
      </c>
      <c r="J33" s="12"/>
      <c r="K33" s="20"/>
      <c r="L33" s="39"/>
    </row>
    <row r="34" spans="1:12" ht="18" customHeight="1" x14ac:dyDescent="0.25">
      <c r="A34" s="8">
        <v>83</v>
      </c>
      <c r="B34" s="8" t="s">
        <v>412</v>
      </c>
      <c r="C34" s="8">
        <v>11</v>
      </c>
      <c r="D34" s="8" t="s">
        <v>409</v>
      </c>
      <c r="E34" s="8" t="s">
        <v>410</v>
      </c>
      <c r="F34" s="8" t="s">
        <v>413</v>
      </c>
      <c r="G34" s="9">
        <v>35600000</v>
      </c>
      <c r="H34" s="10">
        <v>39900000</v>
      </c>
      <c r="I34" s="19">
        <v>64300000</v>
      </c>
      <c r="J34" s="12"/>
      <c r="K34" s="20">
        <v>27500000</v>
      </c>
      <c r="L34" s="39"/>
    </row>
    <row r="35" spans="1:12" ht="18" customHeight="1" x14ac:dyDescent="0.25">
      <c r="A35" s="8">
        <v>87</v>
      </c>
      <c r="B35" s="8" t="s">
        <v>414</v>
      </c>
      <c r="C35" s="8">
        <v>15</v>
      </c>
      <c r="D35" s="8" t="s">
        <v>409</v>
      </c>
      <c r="E35" s="8" t="s">
        <v>410</v>
      </c>
      <c r="F35" s="8" t="s">
        <v>415</v>
      </c>
      <c r="G35" s="9">
        <v>41500000</v>
      </c>
      <c r="H35" s="10">
        <v>46800000</v>
      </c>
      <c r="I35" s="19">
        <v>74500000</v>
      </c>
      <c r="J35" s="12"/>
      <c r="K35" s="20">
        <v>32500000</v>
      </c>
      <c r="L35" s="39"/>
    </row>
    <row r="36" spans="1:12" ht="18" customHeight="1" x14ac:dyDescent="0.25">
      <c r="A36" s="8">
        <v>93</v>
      </c>
      <c r="B36" s="8" t="s">
        <v>416</v>
      </c>
      <c r="C36" s="8">
        <v>18.5</v>
      </c>
      <c r="D36" s="8" t="s">
        <v>409</v>
      </c>
      <c r="E36" s="8" t="s">
        <v>410</v>
      </c>
      <c r="F36" s="8" t="s">
        <v>417</v>
      </c>
      <c r="G36" s="9">
        <v>47000000</v>
      </c>
      <c r="H36" s="10">
        <v>53300000</v>
      </c>
      <c r="I36" s="19">
        <v>87500000</v>
      </c>
      <c r="J36" s="12">
        <v>36700000</v>
      </c>
      <c r="K36" s="20">
        <v>36500000</v>
      </c>
      <c r="L36" s="39"/>
    </row>
    <row r="37" spans="1:12" ht="18" customHeight="1" x14ac:dyDescent="0.25">
      <c r="A37" s="8">
        <v>97</v>
      </c>
      <c r="B37" s="8" t="s">
        <v>418</v>
      </c>
      <c r="C37" s="8">
        <v>22</v>
      </c>
      <c r="D37" s="8" t="s">
        <v>409</v>
      </c>
      <c r="E37" s="8" t="s">
        <v>410</v>
      </c>
      <c r="F37" s="8" t="s">
        <v>419</v>
      </c>
      <c r="G37" s="9">
        <v>52500000</v>
      </c>
      <c r="H37" s="10">
        <v>58800000</v>
      </c>
      <c r="I37" s="19">
        <v>95000000</v>
      </c>
      <c r="J37" s="12">
        <v>42000000</v>
      </c>
      <c r="K37" s="20">
        <v>41000000</v>
      </c>
      <c r="L37" s="39"/>
    </row>
    <row r="38" spans="1:12" ht="18" customHeight="1" x14ac:dyDescent="0.25">
      <c r="A38" s="8">
        <v>101</v>
      </c>
      <c r="B38" s="8" t="s">
        <v>420</v>
      </c>
      <c r="C38" s="8">
        <v>30</v>
      </c>
      <c r="D38" s="8" t="s">
        <v>409</v>
      </c>
      <c r="E38" s="8" t="s">
        <v>410</v>
      </c>
      <c r="F38" s="8" t="s">
        <v>421</v>
      </c>
      <c r="G38" s="9">
        <v>65600000</v>
      </c>
      <c r="H38" s="10">
        <v>73500000</v>
      </c>
      <c r="I38" s="19">
        <v>124700000</v>
      </c>
      <c r="J38" s="12">
        <v>52500000</v>
      </c>
      <c r="K38" s="20">
        <v>51200000</v>
      </c>
      <c r="L38" s="39"/>
    </row>
    <row r="39" spans="1:12" ht="18" customHeight="1" x14ac:dyDescent="0.25">
      <c r="A39" s="8">
        <v>117</v>
      </c>
      <c r="B39" s="8" t="s">
        <v>828</v>
      </c>
      <c r="C39" s="8">
        <v>15</v>
      </c>
      <c r="D39" s="8" t="s">
        <v>423</v>
      </c>
      <c r="E39" s="8" t="s">
        <v>424</v>
      </c>
      <c r="F39" s="8" t="s">
        <v>829</v>
      </c>
      <c r="G39" s="9">
        <v>47000000</v>
      </c>
      <c r="H39" s="10">
        <v>53300000</v>
      </c>
      <c r="I39" s="19">
        <v>87500000</v>
      </c>
      <c r="J39" s="12"/>
      <c r="K39" s="20">
        <v>36500000</v>
      </c>
      <c r="L39" s="39"/>
    </row>
    <row r="40" spans="1:12" ht="18" customHeight="1" x14ac:dyDescent="0.25">
      <c r="A40" s="8">
        <v>117</v>
      </c>
      <c r="B40" s="8" t="s">
        <v>422</v>
      </c>
      <c r="C40" s="8">
        <v>22</v>
      </c>
      <c r="D40" s="8" t="s">
        <v>423</v>
      </c>
      <c r="E40" s="8" t="s">
        <v>424</v>
      </c>
      <c r="F40" s="8" t="s">
        <v>425</v>
      </c>
      <c r="G40" s="9">
        <v>52500000</v>
      </c>
      <c r="H40" s="10">
        <v>58800000</v>
      </c>
      <c r="I40" s="19">
        <v>95000000</v>
      </c>
      <c r="J40" s="12">
        <v>42000000</v>
      </c>
      <c r="K40" s="20">
        <v>41000000</v>
      </c>
      <c r="L40" s="39"/>
    </row>
    <row r="41" spans="1:12" ht="18" customHeight="1" x14ac:dyDescent="0.25">
      <c r="A41" s="8">
        <v>121</v>
      </c>
      <c r="B41" s="8" t="s">
        <v>426</v>
      </c>
      <c r="C41" s="8">
        <v>30</v>
      </c>
      <c r="D41" s="8" t="s">
        <v>423</v>
      </c>
      <c r="E41" s="8" t="s">
        <v>424</v>
      </c>
      <c r="F41" s="8" t="s">
        <v>427</v>
      </c>
      <c r="G41" s="9">
        <v>65600000</v>
      </c>
      <c r="H41" s="10">
        <v>73500000</v>
      </c>
      <c r="I41" s="19">
        <v>124700000</v>
      </c>
      <c r="J41" s="12">
        <v>52500000</v>
      </c>
      <c r="K41" s="20">
        <v>51200000</v>
      </c>
      <c r="L41" s="39"/>
    </row>
    <row r="42" spans="1:12" ht="18" customHeight="1" x14ac:dyDescent="0.25">
      <c r="A42" s="14">
        <v>124</v>
      </c>
      <c r="B42" s="14" t="s">
        <v>428</v>
      </c>
      <c r="C42" s="14">
        <v>37</v>
      </c>
      <c r="D42" s="8" t="s">
        <v>423</v>
      </c>
      <c r="E42" s="14" t="s">
        <v>424</v>
      </c>
      <c r="F42" s="14" t="s">
        <v>429</v>
      </c>
      <c r="G42" s="9">
        <v>81300000</v>
      </c>
      <c r="H42" s="10">
        <v>91000000</v>
      </c>
      <c r="I42" s="19">
        <v>150150000</v>
      </c>
      <c r="J42" s="15">
        <v>65000000</v>
      </c>
      <c r="K42" s="14" t="s">
        <v>303</v>
      </c>
      <c r="L42" s="39"/>
    </row>
    <row r="43" spans="1:12" ht="18" customHeight="1" x14ac:dyDescent="0.25">
      <c r="A43" s="8">
        <v>129</v>
      </c>
      <c r="B43" s="8" t="s">
        <v>430</v>
      </c>
      <c r="C43" s="8">
        <v>45</v>
      </c>
      <c r="D43" s="8" t="s">
        <v>423</v>
      </c>
      <c r="E43" s="8" t="s">
        <v>424</v>
      </c>
      <c r="F43" s="8" t="s">
        <v>431</v>
      </c>
      <c r="G43" s="9">
        <v>93800000</v>
      </c>
      <c r="H43" s="10">
        <v>105000000</v>
      </c>
      <c r="I43" s="19">
        <v>173250000</v>
      </c>
      <c r="J43" s="12">
        <v>75000000</v>
      </c>
      <c r="K43" s="8" t="s">
        <v>303</v>
      </c>
      <c r="L43" s="39"/>
    </row>
    <row r="44" spans="1:12" ht="18" customHeight="1" x14ac:dyDescent="0.25">
      <c r="A44" s="14">
        <v>16</v>
      </c>
      <c r="B44" s="14" t="s">
        <v>432</v>
      </c>
      <c r="C44" s="14">
        <v>1.1000000000000001</v>
      </c>
      <c r="D44" s="14" t="s">
        <v>433</v>
      </c>
      <c r="E44" s="14">
        <v>3.5</v>
      </c>
      <c r="F44" s="14">
        <v>79</v>
      </c>
      <c r="G44" s="9">
        <v>4100000</v>
      </c>
      <c r="H44" s="10">
        <v>4600000</v>
      </c>
      <c r="I44" s="19">
        <v>6300000</v>
      </c>
      <c r="J44" s="20">
        <v>3250000</v>
      </c>
      <c r="K44" s="20"/>
      <c r="L44" s="38" t="s">
        <v>434</v>
      </c>
    </row>
    <row r="45" spans="1:12" ht="18" customHeight="1" x14ac:dyDescent="0.25">
      <c r="A45" s="8">
        <v>17</v>
      </c>
      <c r="B45" s="8" t="s">
        <v>435</v>
      </c>
      <c r="C45" s="8">
        <v>1.5</v>
      </c>
      <c r="D45" s="8" t="s">
        <v>433</v>
      </c>
      <c r="E45" s="8">
        <v>3.6</v>
      </c>
      <c r="F45" s="8">
        <v>79</v>
      </c>
      <c r="G45" s="9">
        <v>4500000</v>
      </c>
      <c r="H45" s="10">
        <v>5000000</v>
      </c>
      <c r="I45" s="19">
        <v>7000000</v>
      </c>
      <c r="J45" s="20">
        <v>3600000</v>
      </c>
      <c r="K45" s="20"/>
      <c r="L45" s="38"/>
    </row>
    <row r="46" spans="1:12" ht="18" customHeight="1" x14ac:dyDescent="0.25">
      <c r="A46" s="14">
        <v>18</v>
      </c>
      <c r="B46" s="14" t="s">
        <v>436</v>
      </c>
      <c r="C46" s="14">
        <v>2.2000000000000002</v>
      </c>
      <c r="D46" s="14" t="s">
        <v>433</v>
      </c>
      <c r="E46" s="14">
        <v>3.7</v>
      </c>
      <c r="F46" s="14">
        <v>79</v>
      </c>
      <c r="G46" s="9">
        <v>5500000</v>
      </c>
      <c r="H46" s="10">
        <v>6200000</v>
      </c>
      <c r="I46" s="19">
        <v>8600000</v>
      </c>
      <c r="J46" s="20">
        <v>4400000</v>
      </c>
      <c r="K46" s="20"/>
      <c r="L46" s="38"/>
    </row>
    <row r="47" spans="1:12" ht="18" customHeight="1" x14ac:dyDescent="0.25">
      <c r="A47" s="8">
        <v>19</v>
      </c>
      <c r="B47" s="8" t="s">
        <v>437</v>
      </c>
      <c r="C47" s="8">
        <v>1.5</v>
      </c>
      <c r="D47" s="8" t="s">
        <v>433</v>
      </c>
      <c r="E47" s="8">
        <v>3.8</v>
      </c>
      <c r="F47" s="8">
        <v>79</v>
      </c>
      <c r="G47" s="9">
        <v>4500000</v>
      </c>
      <c r="H47" s="10">
        <v>5000000</v>
      </c>
      <c r="I47" s="19">
        <v>7000000</v>
      </c>
      <c r="J47" s="20">
        <v>3600000</v>
      </c>
      <c r="K47" s="20"/>
      <c r="L47" s="38"/>
    </row>
    <row r="48" spans="1:12" ht="18" customHeight="1" x14ac:dyDescent="0.25">
      <c r="A48" s="14">
        <v>20</v>
      </c>
      <c r="B48" s="14" t="s">
        <v>438</v>
      </c>
      <c r="C48" s="14">
        <v>2.2000000000000002</v>
      </c>
      <c r="D48" s="14" t="s">
        <v>433</v>
      </c>
      <c r="E48" s="14">
        <v>3.9</v>
      </c>
      <c r="F48" s="14">
        <v>79</v>
      </c>
      <c r="G48" s="9">
        <v>5100000</v>
      </c>
      <c r="H48" s="10">
        <v>5700000</v>
      </c>
      <c r="I48" s="19">
        <v>8000000</v>
      </c>
      <c r="J48" s="20">
        <v>4100000</v>
      </c>
      <c r="K48" s="20"/>
      <c r="L48" s="38"/>
    </row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</sheetData>
  <mergeCells count="2">
    <mergeCell ref="L2:L43"/>
    <mergeCell ref="L44:L4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4"/>
  <sheetViews>
    <sheetView zoomScaleNormal="100" workbookViewId="0">
      <pane ySplit="1" topLeftCell="A38" activePane="bottomLeft" state="frozen"/>
      <selection pane="bottomLeft" activeCell="J65" sqref="J65"/>
    </sheetView>
  </sheetViews>
  <sheetFormatPr defaultColWidth="9.140625" defaultRowHeight="15" x14ac:dyDescent="0.25"/>
  <cols>
    <col min="1" max="1" width="5" style="29" customWidth="1"/>
    <col min="2" max="2" width="24" style="29" customWidth="1"/>
    <col min="3" max="4" width="12" style="29" customWidth="1"/>
    <col min="5" max="5" width="13" style="29" customWidth="1"/>
    <col min="6" max="6" width="11" style="29" customWidth="1"/>
    <col min="7" max="8" width="13" style="29" customWidth="1"/>
    <col min="9" max="9" width="13" style="30" customWidth="1"/>
    <col min="10" max="13" width="14" style="30" customWidth="1"/>
    <col min="14" max="16384" width="9.140625" style="29"/>
  </cols>
  <sheetData>
    <row r="1" spans="1:14" ht="30" customHeight="1" x14ac:dyDescent="0.25">
      <c r="A1" s="2" t="s">
        <v>0</v>
      </c>
      <c r="B1" s="2" t="s">
        <v>1</v>
      </c>
      <c r="C1" s="2" t="s">
        <v>337</v>
      </c>
      <c r="D1" s="2" t="s">
        <v>338</v>
      </c>
      <c r="E1" s="2" t="s">
        <v>193</v>
      </c>
      <c r="F1" s="2" t="s">
        <v>194</v>
      </c>
      <c r="G1" s="25" t="s">
        <v>6</v>
      </c>
      <c r="H1" s="26" t="s">
        <v>7</v>
      </c>
      <c r="I1" s="27" t="s">
        <v>8</v>
      </c>
      <c r="J1" s="31" t="s">
        <v>439</v>
      </c>
      <c r="K1" s="31" t="s">
        <v>197</v>
      </c>
      <c r="L1" s="31" t="s">
        <v>196</v>
      </c>
      <c r="M1" s="32" t="s">
        <v>13</v>
      </c>
    </row>
    <row r="2" spans="1:14" ht="18" customHeight="1" x14ac:dyDescent="0.25">
      <c r="A2" s="8">
        <v>1</v>
      </c>
      <c r="B2" s="8" t="s">
        <v>440</v>
      </c>
      <c r="C2" s="8">
        <v>0.75</v>
      </c>
      <c r="D2" s="8">
        <v>32</v>
      </c>
      <c r="E2" s="8">
        <v>5</v>
      </c>
      <c r="F2" s="8">
        <v>20</v>
      </c>
      <c r="G2" s="21">
        <f t="shared" ref="G2:G7" si="0">ROUNDUP(K2*1.4, -5)</f>
        <v>6000000</v>
      </c>
      <c r="H2" s="22">
        <f t="shared" ref="H2:H7" si="1">ROUNDUP(K2*1.7, -5)</f>
        <v>7300000</v>
      </c>
      <c r="I2" s="23">
        <f t="shared" ref="I2:I7" si="2">ROUNDUP(K2*2.5, -5)</f>
        <v>10700000</v>
      </c>
      <c r="J2" s="33"/>
      <c r="K2" s="34">
        <v>4263000</v>
      </c>
      <c r="L2" s="33"/>
      <c r="M2" s="40" t="s">
        <v>441</v>
      </c>
      <c r="N2" s="41" t="s">
        <v>442</v>
      </c>
    </row>
    <row r="3" spans="1:14" ht="18" customHeight="1" x14ac:dyDescent="0.25">
      <c r="A3" s="14">
        <v>2</v>
      </c>
      <c r="B3" s="14" t="s">
        <v>443</v>
      </c>
      <c r="C3" s="14">
        <v>0.75</v>
      </c>
      <c r="D3" s="14">
        <v>40</v>
      </c>
      <c r="E3" s="14" t="s">
        <v>444</v>
      </c>
      <c r="F3" s="14" t="s">
        <v>445</v>
      </c>
      <c r="G3" s="21">
        <f t="shared" si="0"/>
        <v>6000000</v>
      </c>
      <c r="H3" s="22">
        <f t="shared" si="1"/>
        <v>7300000</v>
      </c>
      <c r="I3" s="23">
        <f t="shared" si="2"/>
        <v>10700000</v>
      </c>
      <c r="J3" s="33"/>
      <c r="K3" s="34">
        <v>4263000</v>
      </c>
      <c r="L3" s="35"/>
      <c r="M3" s="40"/>
      <c r="N3" s="41"/>
    </row>
    <row r="4" spans="1:14" ht="18" customHeight="1" x14ac:dyDescent="0.25">
      <c r="A4" s="8">
        <v>3</v>
      </c>
      <c r="B4" s="8" t="s">
        <v>446</v>
      </c>
      <c r="C4" s="8">
        <v>0.75</v>
      </c>
      <c r="D4" s="8">
        <v>50</v>
      </c>
      <c r="E4" s="8" t="s">
        <v>447</v>
      </c>
      <c r="F4" s="8">
        <v>10</v>
      </c>
      <c r="G4" s="21">
        <f t="shared" si="0"/>
        <v>6000000</v>
      </c>
      <c r="H4" s="22">
        <f t="shared" si="1"/>
        <v>7300000</v>
      </c>
      <c r="I4" s="23">
        <f t="shared" si="2"/>
        <v>10700000</v>
      </c>
      <c r="J4" s="33"/>
      <c r="K4" s="34">
        <v>4263000</v>
      </c>
      <c r="L4" s="33"/>
      <c r="M4" s="40"/>
      <c r="N4" s="41"/>
    </row>
    <row r="5" spans="1:14" ht="18" customHeight="1" x14ac:dyDescent="0.25">
      <c r="A5" s="14">
        <v>4</v>
      </c>
      <c r="B5" s="14" t="s">
        <v>448</v>
      </c>
      <c r="C5" s="14">
        <v>1.1000000000000001</v>
      </c>
      <c r="D5" s="14">
        <v>32</v>
      </c>
      <c r="E5" s="14">
        <v>4</v>
      </c>
      <c r="F5" s="14">
        <v>28</v>
      </c>
      <c r="G5" s="21">
        <f t="shared" si="0"/>
        <v>6000000</v>
      </c>
      <c r="H5" s="22">
        <f t="shared" si="1"/>
        <v>7300000</v>
      </c>
      <c r="I5" s="23">
        <f t="shared" si="2"/>
        <v>10700000</v>
      </c>
      <c r="J5" s="33"/>
      <c r="K5" s="34">
        <v>4263000</v>
      </c>
      <c r="L5" s="35"/>
      <c r="M5" s="40"/>
      <c r="N5" s="41"/>
    </row>
    <row r="6" spans="1:14" ht="18" customHeight="1" x14ac:dyDescent="0.25">
      <c r="A6" s="8">
        <v>5</v>
      </c>
      <c r="B6" s="8" t="s">
        <v>449</v>
      </c>
      <c r="C6" s="8">
        <v>1.1000000000000001</v>
      </c>
      <c r="D6" s="8">
        <v>40</v>
      </c>
      <c r="E6" s="8" t="s">
        <v>450</v>
      </c>
      <c r="F6" s="8" t="s">
        <v>451</v>
      </c>
      <c r="G6" s="21">
        <f t="shared" si="0"/>
        <v>6000000</v>
      </c>
      <c r="H6" s="22">
        <f t="shared" si="1"/>
        <v>7300000</v>
      </c>
      <c r="I6" s="23">
        <f t="shared" si="2"/>
        <v>10700000</v>
      </c>
      <c r="J6" s="33"/>
      <c r="K6" s="34">
        <v>4263000</v>
      </c>
      <c r="L6" s="33"/>
      <c r="M6" s="40"/>
      <c r="N6" s="41"/>
    </row>
    <row r="7" spans="1:14" ht="18" customHeight="1" x14ac:dyDescent="0.25">
      <c r="A7" s="14">
        <v>6</v>
      </c>
      <c r="B7" s="14" t="s">
        <v>452</v>
      </c>
      <c r="C7" s="14">
        <v>1.1000000000000001</v>
      </c>
      <c r="D7" s="14">
        <v>50</v>
      </c>
      <c r="E7" s="14" t="s">
        <v>453</v>
      </c>
      <c r="F7" s="14">
        <v>17</v>
      </c>
      <c r="G7" s="21">
        <f t="shared" si="0"/>
        <v>6000000</v>
      </c>
      <c r="H7" s="22">
        <f t="shared" si="1"/>
        <v>7300000</v>
      </c>
      <c r="I7" s="23">
        <f t="shared" si="2"/>
        <v>10700000</v>
      </c>
      <c r="J7" s="35"/>
      <c r="K7" s="34">
        <v>4263000</v>
      </c>
      <c r="L7" s="35"/>
      <c r="M7" s="40"/>
      <c r="N7" s="41"/>
    </row>
    <row r="8" spans="1:14" ht="18" customHeight="1" x14ac:dyDescent="0.25">
      <c r="A8" s="8">
        <v>7</v>
      </c>
      <c r="B8" s="8" t="s">
        <v>454</v>
      </c>
      <c r="C8" s="8">
        <v>1.5</v>
      </c>
      <c r="D8" s="8">
        <v>40</v>
      </c>
      <c r="E8" s="8" t="s">
        <v>445</v>
      </c>
      <c r="F8" s="8">
        <v>20</v>
      </c>
      <c r="G8" s="21">
        <f t="shared" ref="G8:G51" si="3">ROUNDUP(J8*1.4, -5)</f>
        <v>7600000</v>
      </c>
      <c r="H8" s="22">
        <f t="shared" ref="H8:H51" si="4">ROUNDUP(J8*1.7, -5)</f>
        <v>9200000</v>
      </c>
      <c r="I8" s="23">
        <f t="shared" ref="I8:I51" si="5">ROUNDUP(J8*2.5, -5)</f>
        <v>13600000</v>
      </c>
      <c r="J8" s="33">
        <v>5408000</v>
      </c>
      <c r="K8" s="35">
        <v>4263000</v>
      </c>
      <c r="L8" s="34">
        <f>3500000/1.08</f>
        <v>3240740.7407407407</v>
      </c>
      <c r="M8" s="40"/>
    </row>
    <row r="9" spans="1:14" ht="18" customHeight="1" x14ac:dyDescent="0.25">
      <c r="A9" s="14">
        <v>8</v>
      </c>
      <c r="B9" s="14" t="s">
        <v>455</v>
      </c>
      <c r="C9" s="14">
        <v>1.5</v>
      </c>
      <c r="D9" s="14">
        <v>50</v>
      </c>
      <c r="E9" s="14">
        <v>25</v>
      </c>
      <c r="F9" s="14" t="s">
        <v>445</v>
      </c>
      <c r="G9" s="21">
        <f t="shared" si="3"/>
        <v>7600000</v>
      </c>
      <c r="H9" s="22">
        <f t="shared" si="4"/>
        <v>9200000</v>
      </c>
      <c r="I9" s="23">
        <f t="shared" si="5"/>
        <v>13600000</v>
      </c>
      <c r="J9" s="33">
        <v>5408000</v>
      </c>
      <c r="K9" s="35">
        <v>4263000</v>
      </c>
      <c r="L9" s="33"/>
      <c r="M9" s="40"/>
    </row>
    <row r="10" spans="1:14" ht="18" customHeight="1" x14ac:dyDescent="0.25">
      <c r="A10" s="8">
        <v>9</v>
      </c>
      <c r="B10" s="8" t="s">
        <v>456</v>
      </c>
      <c r="C10" s="8">
        <v>1.5</v>
      </c>
      <c r="D10" s="8">
        <v>65</v>
      </c>
      <c r="E10" s="8">
        <v>25</v>
      </c>
      <c r="F10" s="8" t="s">
        <v>445</v>
      </c>
      <c r="G10" s="21">
        <f t="shared" si="3"/>
        <v>7600000</v>
      </c>
      <c r="H10" s="22">
        <f t="shared" si="4"/>
        <v>9200000</v>
      </c>
      <c r="I10" s="23">
        <f t="shared" si="5"/>
        <v>13600000</v>
      </c>
      <c r="J10" s="33">
        <v>5408000</v>
      </c>
      <c r="K10" s="35">
        <v>4263000</v>
      </c>
      <c r="L10" s="33"/>
      <c r="M10" s="40"/>
    </row>
    <row r="11" spans="1:14" ht="18" customHeight="1" x14ac:dyDescent="0.25">
      <c r="A11" s="14">
        <v>10</v>
      </c>
      <c r="B11" s="14" t="s">
        <v>457</v>
      </c>
      <c r="C11" s="14">
        <v>2.2000000000000002</v>
      </c>
      <c r="D11" s="14">
        <v>40</v>
      </c>
      <c r="E11" s="14" t="s">
        <v>444</v>
      </c>
      <c r="F11" s="14">
        <v>32</v>
      </c>
      <c r="G11" s="21">
        <f t="shared" si="3"/>
        <v>8000000</v>
      </c>
      <c r="H11" s="22">
        <f t="shared" si="4"/>
        <v>9700000</v>
      </c>
      <c r="I11" s="23">
        <f t="shared" si="5"/>
        <v>14300000</v>
      </c>
      <c r="J11" s="35">
        <v>5702400</v>
      </c>
      <c r="K11" s="35">
        <v>4888000</v>
      </c>
      <c r="L11" s="35"/>
      <c r="M11" s="40"/>
    </row>
    <row r="12" spans="1:14" ht="18" customHeight="1" x14ac:dyDescent="0.25">
      <c r="A12" s="8">
        <v>11</v>
      </c>
      <c r="B12" s="8" t="s">
        <v>458</v>
      </c>
      <c r="C12" s="8">
        <v>2.2000000000000002</v>
      </c>
      <c r="D12" s="8">
        <v>50</v>
      </c>
      <c r="E12" s="8" t="s">
        <v>459</v>
      </c>
      <c r="F12" s="8">
        <v>28</v>
      </c>
      <c r="G12" s="21">
        <f t="shared" si="3"/>
        <v>8000000</v>
      </c>
      <c r="H12" s="22">
        <f t="shared" si="4"/>
        <v>9700000</v>
      </c>
      <c r="I12" s="23">
        <f t="shared" si="5"/>
        <v>14300000</v>
      </c>
      <c r="J12" s="35">
        <v>5702400</v>
      </c>
      <c r="K12" s="35">
        <v>4888000</v>
      </c>
      <c r="L12" s="34">
        <f>3900000/1.08</f>
        <v>3611111.111111111</v>
      </c>
      <c r="M12" s="40"/>
    </row>
    <row r="13" spans="1:14" ht="18" customHeight="1" x14ac:dyDescent="0.25">
      <c r="A13" s="14">
        <v>12</v>
      </c>
      <c r="B13" s="14" t="s">
        <v>460</v>
      </c>
      <c r="C13" s="14">
        <v>2.2000000000000002</v>
      </c>
      <c r="D13" s="14">
        <v>65</v>
      </c>
      <c r="E13" s="14">
        <v>45</v>
      </c>
      <c r="F13" s="14">
        <v>10</v>
      </c>
      <c r="G13" s="21">
        <f t="shared" si="3"/>
        <v>8000000</v>
      </c>
      <c r="H13" s="22">
        <f t="shared" si="4"/>
        <v>9700000</v>
      </c>
      <c r="I13" s="23">
        <f t="shared" si="5"/>
        <v>14300000</v>
      </c>
      <c r="J13" s="35">
        <v>5702400</v>
      </c>
      <c r="K13" s="35">
        <v>4888000</v>
      </c>
      <c r="L13" s="35"/>
      <c r="M13" s="40"/>
    </row>
    <row r="14" spans="1:14" ht="18" customHeight="1" x14ac:dyDescent="0.25">
      <c r="A14" s="8">
        <v>13</v>
      </c>
      <c r="B14" s="8" t="s">
        <v>461</v>
      </c>
      <c r="C14" s="8">
        <v>2.2000000000000002</v>
      </c>
      <c r="D14" s="8">
        <v>80</v>
      </c>
      <c r="E14" s="8" t="s">
        <v>462</v>
      </c>
      <c r="F14" s="8">
        <v>10</v>
      </c>
      <c r="G14" s="21">
        <f t="shared" si="3"/>
        <v>8000000</v>
      </c>
      <c r="H14" s="22">
        <f t="shared" si="4"/>
        <v>9700000</v>
      </c>
      <c r="I14" s="23">
        <f t="shared" si="5"/>
        <v>14300000</v>
      </c>
      <c r="J14" s="35">
        <v>5702400</v>
      </c>
      <c r="K14" s="35">
        <v>4888000</v>
      </c>
      <c r="L14" s="35"/>
      <c r="M14" s="40"/>
    </row>
    <row r="15" spans="1:14" ht="18" customHeight="1" x14ac:dyDescent="0.25">
      <c r="A15" s="14">
        <v>14</v>
      </c>
      <c r="B15" s="14" t="s">
        <v>463</v>
      </c>
      <c r="C15" s="14">
        <v>3</v>
      </c>
      <c r="D15" s="14">
        <v>40</v>
      </c>
      <c r="E15" s="14">
        <v>6</v>
      </c>
      <c r="F15" s="14">
        <v>44</v>
      </c>
      <c r="G15" s="21">
        <f t="shared" si="3"/>
        <v>8400000</v>
      </c>
      <c r="H15" s="22">
        <f t="shared" si="4"/>
        <v>10200000</v>
      </c>
      <c r="I15" s="23">
        <f t="shared" si="5"/>
        <v>15000000</v>
      </c>
      <c r="J15" s="35">
        <v>5964400</v>
      </c>
      <c r="K15" s="35">
        <v>6248000</v>
      </c>
      <c r="L15" s="35"/>
      <c r="M15" s="40"/>
    </row>
    <row r="16" spans="1:14" ht="18" customHeight="1" x14ac:dyDescent="0.25">
      <c r="A16" s="8">
        <v>15</v>
      </c>
      <c r="B16" s="8" t="s">
        <v>464</v>
      </c>
      <c r="C16" s="8">
        <v>3</v>
      </c>
      <c r="D16" s="8">
        <v>50</v>
      </c>
      <c r="E16" s="8" t="s">
        <v>445</v>
      </c>
      <c r="F16" s="8">
        <v>32</v>
      </c>
      <c r="G16" s="21">
        <f t="shared" si="3"/>
        <v>8400000</v>
      </c>
      <c r="H16" s="22">
        <f t="shared" si="4"/>
        <v>10200000</v>
      </c>
      <c r="I16" s="23">
        <f t="shared" si="5"/>
        <v>15000000</v>
      </c>
      <c r="J16" s="35">
        <v>5964400</v>
      </c>
      <c r="K16" s="35">
        <v>6248000</v>
      </c>
      <c r="L16" s="35"/>
      <c r="M16" s="40"/>
    </row>
    <row r="17" spans="1:13" ht="18" customHeight="1" x14ac:dyDescent="0.25">
      <c r="A17" s="14">
        <v>16</v>
      </c>
      <c r="B17" s="14" t="s">
        <v>465</v>
      </c>
      <c r="C17" s="14">
        <v>3</v>
      </c>
      <c r="D17" s="14">
        <v>65</v>
      </c>
      <c r="E17" s="14">
        <v>25</v>
      </c>
      <c r="F17" s="14">
        <v>20</v>
      </c>
      <c r="G17" s="21">
        <f t="shared" si="3"/>
        <v>8400000</v>
      </c>
      <c r="H17" s="22">
        <f t="shared" si="4"/>
        <v>10200000</v>
      </c>
      <c r="I17" s="23">
        <f t="shared" si="5"/>
        <v>15000000</v>
      </c>
      <c r="J17" s="35">
        <v>5964400</v>
      </c>
      <c r="K17" s="35">
        <v>6248000</v>
      </c>
      <c r="L17" s="34">
        <f>5500000/1.08</f>
        <v>5092592.5925925924</v>
      </c>
      <c r="M17" s="40"/>
    </row>
    <row r="18" spans="1:13" ht="18" customHeight="1" x14ac:dyDescent="0.25">
      <c r="A18" s="8">
        <v>17</v>
      </c>
      <c r="B18" s="8" t="s">
        <v>466</v>
      </c>
      <c r="C18" s="8">
        <v>3</v>
      </c>
      <c r="D18" s="8">
        <v>80</v>
      </c>
      <c r="E18" s="8">
        <v>50</v>
      </c>
      <c r="F18" s="8" t="s">
        <v>445</v>
      </c>
      <c r="G18" s="21">
        <f t="shared" si="3"/>
        <v>8400000</v>
      </c>
      <c r="H18" s="22">
        <f t="shared" si="4"/>
        <v>10200000</v>
      </c>
      <c r="I18" s="23">
        <f t="shared" si="5"/>
        <v>15000000</v>
      </c>
      <c r="J18" s="35">
        <v>5964400</v>
      </c>
      <c r="K18" s="35">
        <v>6248000</v>
      </c>
      <c r="L18" s="35"/>
      <c r="M18" s="40"/>
    </row>
    <row r="19" spans="1:13" ht="18" customHeight="1" x14ac:dyDescent="0.25">
      <c r="A19" s="14">
        <v>18</v>
      </c>
      <c r="B19" s="14" t="s">
        <v>467</v>
      </c>
      <c r="C19" s="14">
        <v>4</v>
      </c>
      <c r="D19" s="14">
        <v>40</v>
      </c>
      <c r="E19" s="14" t="s">
        <v>468</v>
      </c>
      <c r="F19" s="14">
        <v>50</v>
      </c>
      <c r="G19" s="21">
        <f t="shared" si="3"/>
        <v>8800000</v>
      </c>
      <c r="H19" s="22">
        <f t="shared" si="4"/>
        <v>10700000</v>
      </c>
      <c r="I19" s="23">
        <f t="shared" si="5"/>
        <v>15700000</v>
      </c>
      <c r="J19" s="35">
        <v>6246400</v>
      </c>
      <c r="K19" s="35">
        <v>6600000</v>
      </c>
      <c r="L19" s="35"/>
      <c r="M19" s="40"/>
    </row>
    <row r="20" spans="1:13" ht="18" customHeight="1" x14ac:dyDescent="0.25">
      <c r="A20" s="8">
        <v>19</v>
      </c>
      <c r="B20" s="8" t="s">
        <v>469</v>
      </c>
      <c r="C20" s="8">
        <v>4</v>
      </c>
      <c r="D20" s="8">
        <v>50</v>
      </c>
      <c r="E20" s="8">
        <v>25</v>
      </c>
      <c r="F20" s="8">
        <v>32</v>
      </c>
      <c r="G20" s="21">
        <f t="shared" si="3"/>
        <v>8800000</v>
      </c>
      <c r="H20" s="22">
        <f t="shared" si="4"/>
        <v>10700000</v>
      </c>
      <c r="I20" s="23">
        <f t="shared" si="5"/>
        <v>15700000</v>
      </c>
      <c r="J20" s="35">
        <v>6246400</v>
      </c>
      <c r="K20" s="35">
        <v>6600000</v>
      </c>
      <c r="L20" s="35"/>
      <c r="M20" s="40"/>
    </row>
    <row r="21" spans="1:13" ht="18" customHeight="1" x14ac:dyDescent="0.25">
      <c r="A21" s="14">
        <v>20</v>
      </c>
      <c r="B21" s="14" t="s">
        <v>470</v>
      </c>
      <c r="C21" s="14">
        <v>4</v>
      </c>
      <c r="D21" s="14">
        <v>65</v>
      </c>
      <c r="E21" s="14">
        <v>30</v>
      </c>
      <c r="F21" s="14">
        <v>34</v>
      </c>
      <c r="G21" s="21">
        <f t="shared" si="3"/>
        <v>8800000</v>
      </c>
      <c r="H21" s="22">
        <f t="shared" si="4"/>
        <v>10700000</v>
      </c>
      <c r="I21" s="23">
        <f t="shared" si="5"/>
        <v>15700000</v>
      </c>
      <c r="J21" s="34">
        <v>6246400</v>
      </c>
      <c r="K21" s="35">
        <v>6600000</v>
      </c>
      <c r="L21" s="35">
        <f>6800000/1.08</f>
        <v>6296296.2962962957</v>
      </c>
      <c r="M21" s="40"/>
    </row>
    <row r="22" spans="1:13" ht="18" customHeight="1" x14ac:dyDescent="0.25">
      <c r="A22" s="8">
        <v>21</v>
      </c>
      <c r="B22" s="8" t="s">
        <v>471</v>
      </c>
      <c r="C22" s="8">
        <v>4</v>
      </c>
      <c r="D22" s="8">
        <v>80</v>
      </c>
      <c r="E22" s="8">
        <v>90</v>
      </c>
      <c r="F22" s="8">
        <v>10</v>
      </c>
      <c r="G22" s="21">
        <f t="shared" si="3"/>
        <v>8800000</v>
      </c>
      <c r="H22" s="22">
        <f t="shared" si="4"/>
        <v>10700000</v>
      </c>
      <c r="I22" s="23">
        <f t="shared" si="5"/>
        <v>15700000</v>
      </c>
      <c r="J22" s="34">
        <v>6246400</v>
      </c>
      <c r="K22" s="35">
        <v>6600000</v>
      </c>
      <c r="L22" s="35"/>
      <c r="M22" s="40"/>
    </row>
    <row r="23" spans="1:13" ht="18" customHeight="1" x14ac:dyDescent="0.25">
      <c r="A23" s="14">
        <v>22</v>
      </c>
      <c r="B23" s="14" t="s">
        <v>472</v>
      </c>
      <c r="C23" s="14">
        <v>4</v>
      </c>
      <c r="D23" s="14">
        <v>80</v>
      </c>
      <c r="E23" s="14">
        <v>50</v>
      </c>
      <c r="F23" s="14">
        <v>20</v>
      </c>
      <c r="G23" s="21">
        <f t="shared" si="3"/>
        <v>8800000</v>
      </c>
      <c r="H23" s="22">
        <f t="shared" si="4"/>
        <v>10700000</v>
      </c>
      <c r="I23" s="23">
        <f t="shared" si="5"/>
        <v>15700000</v>
      </c>
      <c r="J23" s="34">
        <v>6246400</v>
      </c>
      <c r="K23" s="35">
        <v>6600000</v>
      </c>
      <c r="L23" s="35"/>
      <c r="M23" s="40"/>
    </row>
    <row r="24" spans="1:13" ht="18" customHeight="1" x14ac:dyDescent="0.25">
      <c r="A24" s="8">
        <v>23</v>
      </c>
      <c r="B24" s="8" t="s">
        <v>473</v>
      </c>
      <c r="C24" s="8">
        <v>4</v>
      </c>
      <c r="D24" s="8">
        <v>100</v>
      </c>
      <c r="E24" s="8">
        <v>89</v>
      </c>
      <c r="F24" s="8">
        <v>10</v>
      </c>
      <c r="G24" s="21">
        <f t="shared" si="3"/>
        <v>8800000</v>
      </c>
      <c r="H24" s="22">
        <f t="shared" si="4"/>
        <v>10700000</v>
      </c>
      <c r="I24" s="23">
        <f t="shared" si="5"/>
        <v>15700000</v>
      </c>
      <c r="J24" s="34">
        <v>6246400</v>
      </c>
      <c r="K24" s="35">
        <v>6600000</v>
      </c>
      <c r="L24" s="33"/>
      <c r="M24" s="40"/>
    </row>
    <row r="25" spans="1:13" ht="18" customHeight="1" x14ac:dyDescent="0.25">
      <c r="A25" s="14">
        <v>24</v>
      </c>
      <c r="B25" s="14" t="s">
        <v>474</v>
      </c>
      <c r="C25" s="14">
        <v>5.5</v>
      </c>
      <c r="D25" s="14">
        <v>40</v>
      </c>
      <c r="E25" s="14">
        <v>6</v>
      </c>
      <c r="F25" s="14">
        <v>70</v>
      </c>
      <c r="G25" s="21">
        <f t="shared" si="3"/>
        <v>12600000</v>
      </c>
      <c r="H25" s="22">
        <f t="shared" si="4"/>
        <v>15300000</v>
      </c>
      <c r="I25" s="23">
        <f t="shared" si="5"/>
        <v>22500000</v>
      </c>
      <c r="J25" s="35">
        <v>8980480</v>
      </c>
      <c r="K25" s="35">
        <v>10658000</v>
      </c>
      <c r="L25" s="35"/>
      <c r="M25" s="40"/>
    </row>
    <row r="26" spans="1:13" ht="18" customHeight="1" x14ac:dyDescent="0.25">
      <c r="A26" s="8">
        <v>25</v>
      </c>
      <c r="B26" s="8" t="s">
        <v>475</v>
      </c>
      <c r="C26" s="8">
        <v>5.5</v>
      </c>
      <c r="D26" s="8">
        <v>50</v>
      </c>
      <c r="E26" s="8" t="s">
        <v>445</v>
      </c>
      <c r="F26" s="8">
        <v>50</v>
      </c>
      <c r="G26" s="21">
        <f t="shared" si="3"/>
        <v>12600000</v>
      </c>
      <c r="H26" s="22">
        <f t="shared" si="4"/>
        <v>15300000</v>
      </c>
      <c r="I26" s="23">
        <f t="shared" si="5"/>
        <v>22500000</v>
      </c>
      <c r="J26" s="35">
        <v>8980480</v>
      </c>
      <c r="K26" s="35">
        <v>10658000</v>
      </c>
      <c r="L26" s="33"/>
      <c r="M26" s="40"/>
    </row>
    <row r="27" spans="1:13" ht="18" customHeight="1" x14ac:dyDescent="0.25">
      <c r="A27" s="14">
        <v>26</v>
      </c>
      <c r="B27" s="14" t="s">
        <v>476</v>
      </c>
      <c r="C27" s="14">
        <v>5.5</v>
      </c>
      <c r="D27" s="14">
        <v>65</v>
      </c>
      <c r="E27" s="14">
        <v>50</v>
      </c>
      <c r="F27" s="14">
        <v>20</v>
      </c>
      <c r="G27" s="21">
        <f t="shared" si="3"/>
        <v>12600000</v>
      </c>
      <c r="H27" s="22">
        <f t="shared" si="4"/>
        <v>15300000</v>
      </c>
      <c r="I27" s="23">
        <f t="shared" si="5"/>
        <v>22500000</v>
      </c>
      <c r="J27" s="35">
        <v>8980480</v>
      </c>
      <c r="K27" s="35">
        <v>10658000</v>
      </c>
      <c r="L27" s="35"/>
      <c r="M27" s="40"/>
    </row>
    <row r="28" spans="1:13" ht="18" customHeight="1" x14ac:dyDescent="0.25">
      <c r="A28" s="8">
        <v>27</v>
      </c>
      <c r="B28" s="8" t="s">
        <v>477</v>
      </c>
      <c r="C28" s="8">
        <v>5.5</v>
      </c>
      <c r="D28" s="8">
        <v>80</v>
      </c>
      <c r="E28" s="8">
        <v>100</v>
      </c>
      <c r="F28" s="8">
        <v>12</v>
      </c>
      <c r="G28" s="21">
        <f t="shared" si="3"/>
        <v>12600000</v>
      </c>
      <c r="H28" s="22">
        <f t="shared" si="4"/>
        <v>15300000</v>
      </c>
      <c r="I28" s="23">
        <f t="shared" si="5"/>
        <v>22500000</v>
      </c>
      <c r="J28" s="35">
        <v>8980480</v>
      </c>
      <c r="K28" s="35">
        <v>10658000</v>
      </c>
      <c r="L28" s="34">
        <f>7900000/1.08</f>
        <v>7314814.8148148144</v>
      </c>
      <c r="M28" s="40"/>
    </row>
    <row r="29" spans="1:13" ht="18" customHeight="1" x14ac:dyDescent="0.25">
      <c r="A29" s="14">
        <v>28</v>
      </c>
      <c r="B29" s="14" t="s">
        <v>478</v>
      </c>
      <c r="C29" s="14">
        <v>5.5</v>
      </c>
      <c r="D29" s="14">
        <v>100</v>
      </c>
      <c r="E29" s="14">
        <v>100</v>
      </c>
      <c r="F29" s="14" t="s">
        <v>445</v>
      </c>
      <c r="G29" s="21">
        <f t="shared" si="3"/>
        <v>13300000</v>
      </c>
      <c r="H29" s="22">
        <f t="shared" si="4"/>
        <v>16100000</v>
      </c>
      <c r="I29" s="23">
        <f t="shared" si="5"/>
        <v>23700000</v>
      </c>
      <c r="J29" s="35">
        <v>9465600</v>
      </c>
      <c r="K29" s="35">
        <v>10658000</v>
      </c>
      <c r="L29" s="35"/>
      <c r="M29" s="40"/>
    </row>
    <row r="30" spans="1:13" ht="18" customHeight="1" x14ac:dyDescent="0.25">
      <c r="A30" s="8">
        <v>29</v>
      </c>
      <c r="B30" s="8" t="s">
        <v>479</v>
      </c>
      <c r="C30" s="8">
        <v>7.5</v>
      </c>
      <c r="D30" s="8">
        <v>50</v>
      </c>
      <c r="E30" s="8">
        <v>25</v>
      </c>
      <c r="F30" s="8">
        <v>50</v>
      </c>
      <c r="G30" s="21">
        <f t="shared" si="3"/>
        <v>13600000</v>
      </c>
      <c r="H30" s="22">
        <f t="shared" si="4"/>
        <v>16500000</v>
      </c>
      <c r="I30" s="23">
        <f t="shared" si="5"/>
        <v>24200000</v>
      </c>
      <c r="J30" s="33">
        <v>9680000</v>
      </c>
      <c r="K30" s="33">
        <v>11250000</v>
      </c>
      <c r="L30" s="33"/>
      <c r="M30" s="40"/>
    </row>
    <row r="31" spans="1:13" ht="18" customHeight="1" x14ac:dyDescent="0.25">
      <c r="A31" s="14">
        <v>30</v>
      </c>
      <c r="B31" s="14" t="s">
        <v>480</v>
      </c>
      <c r="C31" s="14">
        <v>7.5</v>
      </c>
      <c r="D31" s="14">
        <v>65</v>
      </c>
      <c r="E31" s="14">
        <v>50</v>
      </c>
      <c r="F31" s="14">
        <v>32</v>
      </c>
      <c r="G31" s="21">
        <f t="shared" si="3"/>
        <v>13600000</v>
      </c>
      <c r="H31" s="22">
        <f t="shared" si="4"/>
        <v>16500000</v>
      </c>
      <c r="I31" s="23">
        <f t="shared" si="5"/>
        <v>24200000</v>
      </c>
      <c r="J31" s="33">
        <v>9680000</v>
      </c>
      <c r="K31" s="33">
        <v>11250000</v>
      </c>
      <c r="L31" s="35"/>
      <c r="M31" s="40"/>
    </row>
    <row r="32" spans="1:13" ht="18" customHeight="1" x14ac:dyDescent="0.25">
      <c r="A32" s="8">
        <v>31</v>
      </c>
      <c r="B32" s="8" t="s">
        <v>481</v>
      </c>
      <c r="C32" s="8">
        <v>7.5</v>
      </c>
      <c r="D32" s="8">
        <v>80</v>
      </c>
      <c r="E32" s="8">
        <v>92</v>
      </c>
      <c r="F32" s="8">
        <v>16</v>
      </c>
      <c r="G32" s="21">
        <f t="shared" si="3"/>
        <v>13600000</v>
      </c>
      <c r="H32" s="22">
        <f t="shared" si="4"/>
        <v>16500000</v>
      </c>
      <c r="I32" s="23">
        <f t="shared" si="5"/>
        <v>24200000</v>
      </c>
      <c r="J32" s="33">
        <v>9680000</v>
      </c>
      <c r="K32" s="33">
        <v>11250000</v>
      </c>
      <c r="L32" s="34">
        <f>8900000/1.08</f>
        <v>8240740.7407407397</v>
      </c>
      <c r="M32" s="40"/>
    </row>
    <row r="33" spans="1:14" ht="18" customHeight="1" x14ac:dyDescent="0.25">
      <c r="A33" s="14">
        <v>32</v>
      </c>
      <c r="B33" s="14" t="s">
        <v>482</v>
      </c>
      <c r="C33" s="14">
        <v>7.5</v>
      </c>
      <c r="D33" s="14">
        <v>100</v>
      </c>
      <c r="E33" s="14">
        <v>100</v>
      </c>
      <c r="F33" s="14">
        <v>14</v>
      </c>
      <c r="G33" s="21">
        <f t="shared" si="3"/>
        <v>13800000</v>
      </c>
      <c r="H33" s="22">
        <f t="shared" si="4"/>
        <v>16700000</v>
      </c>
      <c r="I33" s="23">
        <f t="shared" si="5"/>
        <v>24600000</v>
      </c>
      <c r="J33" s="35">
        <v>9811200</v>
      </c>
      <c r="K33" s="35">
        <v>11350000</v>
      </c>
      <c r="L33" s="35"/>
      <c r="M33" s="40"/>
    </row>
    <row r="34" spans="1:14" ht="18" customHeight="1" x14ac:dyDescent="0.25">
      <c r="A34" s="8">
        <v>33</v>
      </c>
      <c r="B34" s="8" t="s">
        <v>483</v>
      </c>
      <c r="C34" s="8">
        <v>7.5</v>
      </c>
      <c r="D34" s="8">
        <v>125</v>
      </c>
      <c r="E34" s="8">
        <v>143</v>
      </c>
      <c r="F34" s="8">
        <v>10</v>
      </c>
      <c r="G34" s="21">
        <f t="shared" si="3"/>
        <v>19400000</v>
      </c>
      <c r="H34" s="22">
        <f t="shared" si="4"/>
        <v>23500000</v>
      </c>
      <c r="I34" s="23">
        <f t="shared" si="5"/>
        <v>34500000</v>
      </c>
      <c r="J34" s="33">
        <v>13798400</v>
      </c>
      <c r="K34" s="33"/>
      <c r="L34" s="33"/>
      <c r="M34" s="40"/>
    </row>
    <row r="35" spans="1:14" ht="18" customHeight="1" x14ac:dyDescent="0.25">
      <c r="A35" s="14">
        <v>34</v>
      </c>
      <c r="B35" s="14" t="s">
        <v>484</v>
      </c>
      <c r="C35" s="14">
        <v>11</v>
      </c>
      <c r="D35" s="14">
        <v>150</v>
      </c>
      <c r="E35" s="14" t="s">
        <v>485</v>
      </c>
      <c r="F35" s="14">
        <v>70</v>
      </c>
      <c r="G35" s="21">
        <f t="shared" si="3"/>
        <v>19800000</v>
      </c>
      <c r="H35" s="22">
        <f t="shared" si="4"/>
        <v>24000000</v>
      </c>
      <c r="I35" s="23">
        <f t="shared" si="5"/>
        <v>35200000</v>
      </c>
      <c r="J35" s="35">
        <v>14080000</v>
      </c>
      <c r="K35" s="35">
        <v>16800000</v>
      </c>
      <c r="L35" s="35"/>
      <c r="M35" s="40"/>
    </row>
    <row r="36" spans="1:14" ht="18" customHeight="1" x14ac:dyDescent="0.25">
      <c r="A36" s="8">
        <v>35</v>
      </c>
      <c r="B36" s="8" t="s">
        <v>486</v>
      </c>
      <c r="C36" s="8">
        <v>11</v>
      </c>
      <c r="D36" s="8">
        <v>80</v>
      </c>
      <c r="E36" s="8">
        <v>47</v>
      </c>
      <c r="F36" s="8">
        <v>44</v>
      </c>
      <c r="G36" s="21">
        <f t="shared" si="3"/>
        <v>19800000</v>
      </c>
      <c r="H36" s="22">
        <f t="shared" si="4"/>
        <v>24000000</v>
      </c>
      <c r="I36" s="23">
        <f t="shared" si="5"/>
        <v>35200000</v>
      </c>
      <c r="J36" s="35">
        <v>14080000</v>
      </c>
      <c r="K36" s="35">
        <v>16800000</v>
      </c>
      <c r="L36" s="33"/>
      <c r="M36" s="40"/>
    </row>
    <row r="37" spans="1:14" ht="18" customHeight="1" x14ac:dyDescent="0.25">
      <c r="A37" s="14">
        <v>36</v>
      </c>
      <c r="B37" s="14" t="s">
        <v>487</v>
      </c>
      <c r="C37" s="14">
        <v>11</v>
      </c>
      <c r="D37" s="14">
        <v>80</v>
      </c>
      <c r="E37" s="14" t="s">
        <v>488</v>
      </c>
      <c r="F37" s="14">
        <v>28</v>
      </c>
      <c r="G37" s="21">
        <f t="shared" si="3"/>
        <v>19800000</v>
      </c>
      <c r="H37" s="22">
        <f t="shared" si="4"/>
        <v>24000000</v>
      </c>
      <c r="I37" s="23">
        <f t="shared" si="5"/>
        <v>35200000</v>
      </c>
      <c r="J37" s="35">
        <v>14080000</v>
      </c>
      <c r="K37" s="35">
        <v>16800000</v>
      </c>
      <c r="L37" s="34">
        <f>14900000/1.08</f>
        <v>13796296.296296295</v>
      </c>
      <c r="M37" s="40"/>
    </row>
    <row r="38" spans="1:14" ht="18" customHeight="1" x14ac:dyDescent="0.25">
      <c r="A38" s="8">
        <v>37</v>
      </c>
      <c r="B38" s="8" t="s">
        <v>489</v>
      </c>
      <c r="C38" s="8">
        <v>11</v>
      </c>
      <c r="D38" s="8">
        <v>100</v>
      </c>
      <c r="E38" s="8">
        <v>105</v>
      </c>
      <c r="F38" s="8">
        <v>30</v>
      </c>
      <c r="G38" s="21">
        <f t="shared" si="3"/>
        <v>20100000</v>
      </c>
      <c r="H38" s="22">
        <f t="shared" si="4"/>
        <v>24400000</v>
      </c>
      <c r="I38" s="23">
        <f t="shared" si="5"/>
        <v>35800000</v>
      </c>
      <c r="J38" s="33">
        <v>14304000</v>
      </c>
      <c r="K38" s="35">
        <v>16800000</v>
      </c>
      <c r="L38" s="33"/>
      <c r="M38" s="40"/>
    </row>
    <row r="39" spans="1:14" ht="18" customHeight="1" x14ac:dyDescent="0.25">
      <c r="A39" s="14">
        <v>38</v>
      </c>
      <c r="B39" s="14" t="s">
        <v>490</v>
      </c>
      <c r="C39" s="14">
        <v>11</v>
      </c>
      <c r="D39" s="14">
        <v>125</v>
      </c>
      <c r="E39" s="14">
        <v>143</v>
      </c>
      <c r="F39" s="14">
        <v>17</v>
      </c>
      <c r="G39" s="21">
        <f t="shared" si="3"/>
        <v>28100000</v>
      </c>
      <c r="H39" s="22">
        <f t="shared" si="4"/>
        <v>34100000</v>
      </c>
      <c r="I39" s="23">
        <f t="shared" si="5"/>
        <v>50100000</v>
      </c>
      <c r="J39" s="35">
        <f>J38*1.4</f>
        <v>20025600</v>
      </c>
      <c r="K39" s="35"/>
      <c r="L39" s="35"/>
      <c r="M39" s="40"/>
      <c r="N39" s="29" t="s">
        <v>491</v>
      </c>
    </row>
    <row r="40" spans="1:14" ht="18" customHeight="1" x14ac:dyDescent="0.25">
      <c r="A40" s="8">
        <v>39</v>
      </c>
      <c r="B40" s="8" t="s">
        <v>492</v>
      </c>
      <c r="C40" s="8">
        <v>11</v>
      </c>
      <c r="D40" s="8">
        <v>150</v>
      </c>
      <c r="E40" s="8">
        <v>150</v>
      </c>
      <c r="F40" s="8">
        <v>16</v>
      </c>
      <c r="G40" s="21">
        <f t="shared" si="3"/>
        <v>28100000</v>
      </c>
      <c r="H40" s="22">
        <f t="shared" si="4"/>
        <v>34100000</v>
      </c>
      <c r="I40" s="23">
        <f t="shared" si="5"/>
        <v>50100000</v>
      </c>
      <c r="J40" s="35">
        <v>20025600</v>
      </c>
      <c r="K40" s="33"/>
      <c r="L40" s="33"/>
      <c r="M40" s="40"/>
      <c r="N40" s="29" t="s">
        <v>491</v>
      </c>
    </row>
    <row r="41" spans="1:14" ht="18" customHeight="1" x14ac:dyDescent="0.25">
      <c r="A41" s="14">
        <v>40</v>
      </c>
      <c r="B41" s="14" t="s">
        <v>493</v>
      </c>
      <c r="C41" s="14">
        <v>15</v>
      </c>
      <c r="D41" s="14">
        <v>200</v>
      </c>
      <c r="E41" s="14">
        <v>218</v>
      </c>
      <c r="F41" s="14">
        <v>16</v>
      </c>
      <c r="G41" s="21">
        <f t="shared" si="3"/>
        <v>28100000</v>
      </c>
      <c r="H41" s="22">
        <f t="shared" si="4"/>
        <v>34100000</v>
      </c>
      <c r="I41" s="23">
        <f t="shared" si="5"/>
        <v>50100000</v>
      </c>
      <c r="J41" s="35">
        <v>20025600</v>
      </c>
      <c r="K41" s="35"/>
      <c r="L41" s="35"/>
      <c r="M41" s="40"/>
      <c r="N41" s="29" t="s">
        <v>491</v>
      </c>
    </row>
    <row r="42" spans="1:14" ht="18" customHeight="1" x14ac:dyDescent="0.25">
      <c r="A42" s="8">
        <v>41</v>
      </c>
      <c r="B42" s="8" t="s">
        <v>494</v>
      </c>
      <c r="C42" s="8">
        <v>15</v>
      </c>
      <c r="D42" s="8">
        <v>65</v>
      </c>
      <c r="E42" s="8" t="s">
        <v>495</v>
      </c>
      <c r="F42" s="8">
        <v>83</v>
      </c>
      <c r="G42" s="21">
        <f t="shared" si="3"/>
        <v>21400000</v>
      </c>
      <c r="H42" s="22">
        <f t="shared" si="4"/>
        <v>26000000</v>
      </c>
      <c r="I42" s="23">
        <f t="shared" si="5"/>
        <v>38100000</v>
      </c>
      <c r="J42" s="33">
        <v>15238400</v>
      </c>
      <c r="K42" s="33">
        <v>18180000</v>
      </c>
      <c r="L42" s="33"/>
      <c r="M42" s="40"/>
    </row>
    <row r="43" spans="1:14" ht="18" customHeight="1" x14ac:dyDescent="0.25">
      <c r="A43" s="14">
        <v>42</v>
      </c>
      <c r="B43" s="14" t="s">
        <v>496</v>
      </c>
      <c r="C43" s="14">
        <v>15</v>
      </c>
      <c r="D43" s="14">
        <v>80</v>
      </c>
      <c r="E43" s="14">
        <v>100</v>
      </c>
      <c r="F43" s="14">
        <v>32</v>
      </c>
      <c r="G43" s="21">
        <f t="shared" si="3"/>
        <v>21400000</v>
      </c>
      <c r="H43" s="22">
        <f t="shared" si="4"/>
        <v>26000000</v>
      </c>
      <c r="I43" s="23">
        <f t="shared" si="5"/>
        <v>38100000</v>
      </c>
      <c r="J43" s="33">
        <v>15238400</v>
      </c>
      <c r="K43" s="33">
        <v>18180000</v>
      </c>
      <c r="L43" s="35"/>
      <c r="M43" s="40"/>
    </row>
    <row r="44" spans="1:14" ht="18" customHeight="1" x14ac:dyDescent="0.25">
      <c r="A44" s="8">
        <v>43</v>
      </c>
      <c r="B44" s="8" t="s">
        <v>497</v>
      </c>
      <c r="C44" s="8">
        <v>15</v>
      </c>
      <c r="D44" s="8">
        <v>100</v>
      </c>
      <c r="E44" s="8">
        <v>160</v>
      </c>
      <c r="F44" s="8">
        <v>20</v>
      </c>
      <c r="G44" s="21">
        <f t="shared" si="3"/>
        <v>21400000</v>
      </c>
      <c r="H44" s="22">
        <f t="shared" si="4"/>
        <v>26000000</v>
      </c>
      <c r="I44" s="23">
        <f t="shared" si="5"/>
        <v>38100000</v>
      </c>
      <c r="J44" s="33">
        <v>15238400</v>
      </c>
      <c r="K44" s="33">
        <v>18180000</v>
      </c>
      <c r="L44" s="34">
        <f>15900000/1.08</f>
        <v>14722222.222222222</v>
      </c>
      <c r="M44" s="40"/>
    </row>
    <row r="45" spans="1:14" ht="18" customHeight="1" x14ac:dyDescent="0.25">
      <c r="A45" s="14">
        <v>44</v>
      </c>
      <c r="B45" s="14" t="s">
        <v>498</v>
      </c>
      <c r="C45" s="14">
        <v>15</v>
      </c>
      <c r="D45" s="14">
        <v>125</v>
      </c>
      <c r="E45" s="14">
        <v>138</v>
      </c>
      <c r="F45" s="14" t="s">
        <v>499</v>
      </c>
      <c r="G45" s="21">
        <f t="shared" si="3"/>
        <v>21400000</v>
      </c>
      <c r="H45" s="22">
        <f t="shared" si="4"/>
        <v>26000000</v>
      </c>
      <c r="I45" s="23">
        <f t="shared" si="5"/>
        <v>38100000</v>
      </c>
      <c r="J45" s="33">
        <v>15238400</v>
      </c>
      <c r="K45" s="33">
        <v>18180000</v>
      </c>
      <c r="L45" s="35"/>
      <c r="M45" s="40"/>
    </row>
    <row r="46" spans="1:14" ht="18" customHeight="1" x14ac:dyDescent="0.25">
      <c r="A46" s="8">
        <v>45</v>
      </c>
      <c r="B46" s="8" t="s">
        <v>500</v>
      </c>
      <c r="C46" s="8">
        <v>15</v>
      </c>
      <c r="D46" s="8">
        <v>150</v>
      </c>
      <c r="E46" s="8">
        <v>158</v>
      </c>
      <c r="F46" s="8">
        <v>31</v>
      </c>
      <c r="G46" s="21">
        <f t="shared" si="3"/>
        <v>21400000</v>
      </c>
      <c r="H46" s="22">
        <f t="shared" si="4"/>
        <v>26000000</v>
      </c>
      <c r="I46" s="23">
        <f t="shared" si="5"/>
        <v>38100000</v>
      </c>
      <c r="J46" s="33">
        <v>15238400</v>
      </c>
      <c r="K46" s="33">
        <v>18180000</v>
      </c>
      <c r="L46" s="33"/>
      <c r="M46" s="40"/>
    </row>
    <row r="47" spans="1:14" ht="18" customHeight="1" x14ac:dyDescent="0.25">
      <c r="A47" s="14">
        <v>46</v>
      </c>
      <c r="B47" s="14" t="s">
        <v>501</v>
      </c>
      <c r="C47" s="14">
        <v>18.5</v>
      </c>
      <c r="D47" s="14">
        <v>80</v>
      </c>
      <c r="E47" s="14" t="s">
        <v>488</v>
      </c>
      <c r="F47" s="14">
        <v>44</v>
      </c>
      <c r="G47" s="21">
        <f t="shared" si="3"/>
        <v>24200000</v>
      </c>
      <c r="H47" s="22">
        <f t="shared" si="4"/>
        <v>29400000</v>
      </c>
      <c r="I47" s="23">
        <f t="shared" si="5"/>
        <v>43200000</v>
      </c>
      <c r="J47" s="35">
        <v>17248000</v>
      </c>
      <c r="K47" s="35">
        <v>19980000</v>
      </c>
      <c r="L47" s="35"/>
      <c r="M47" s="40"/>
    </row>
    <row r="48" spans="1:14" ht="18" customHeight="1" x14ac:dyDescent="0.25">
      <c r="A48" s="8">
        <v>47</v>
      </c>
      <c r="B48" s="8" t="s">
        <v>502</v>
      </c>
      <c r="C48" s="8">
        <v>18.5</v>
      </c>
      <c r="D48" s="8">
        <v>100</v>
      </c>
      <c r="E48" s="8">
        <v>150</v>
      </c>
      <c r="F48" s="8">
        <v>28</v>
      </c>
      <c r="G48" s="21">
        <f t="shared" si="3"/>
        <v>24200000</v>
      </c>
      <c r="H48" s="22">
        <f t="shared" si="4"/>
        <v>29400000</v>
      </c>
      <c r="I48" s="23">
        <f t="shared" si="5"/>
        <v>43200000</v>
      </c>
      <c r="J48" s="35">
        <v>17248000</v>
      </c>
      <c r="K48" s="35">
        <v>19980000</v>
      </c>
      <c r="L48" s="33"/>
      <c r="M48" s="40"/>
    </row>
    <row r="49" spans="1:14" ht="18" customHeight="1" x14ac:dyDescent="0.25">
      <c r="A49" s="14">
        <v>48</v>
      </c>
      <c r="B49" s="14" t="s">
        <v>503</v>
      </c>
      <c r="C49" s="14">
        <v>18.5</v>
      </c>
      <c r="D49" s="14">
        <v>125</v>
      </c>
      <c r="E49" s="14">
        <v>150</v>
      </c>
      <c r="F49" s="14">
        <v>30</v>
      </c>
      <c r="G49" s="21">
        <f t="shared" si="3"/>
        <v>24200000</v>
      </c>
      <c r="H49" s="22">
        <f t="shared" si="4"/>
        <v>29400000</v>
      </c>
      <c r="I49" s="23">
        <f t="shared" si="5"/>
        <v>43200000</v>
      </c>
      <c r="J49" s="35">
        <v>17248000</v>
      </c>
      <c r="K49" s="35">
        <v>19980000</v>
      </c>
      <c r="L49" s="35"/>
      <c r="M49" s="40"/>
    </row>
    <row r="50" spans="1:14" ht="18" customHeight="1" x14ac:dyDescent="0.25">
      <c r="A50" s="8">
        <v>49</v>
      </c>
      <c r="B50" s="8" t="s">
        <v>504</v>
      </c>
      <c r="C50" s="8">
        <v>18.5</v>
      </c>
      <c r="D50" s="8">
        <v>150</v>
      </c>
      <c r="E50" s="8">
        <v>193</v>
      </c>
      <c r="F50" s="8">
        <v>32</v>
      </c>
      <c r="G50" s="21">
        <f t="shared" si="3"/>
        <v>24200000</v>
      </c>
      <c r="H50" s="22">
        <f t="shared" si="4"/>
        <v>29400000</v>
      </c>
      <c r="I50" s="23">
        <f t="shared" si="5"/>
        <v>43200000</v>
      </c>
      <c r="J50" s="35">
        <v>17248000</v>
      </c>
      <c r="K50" s="35">
        <v>19980000</v>
      </c>
      <c r="L50" s="33"/>
      <c r="M50" s="40"/>
    </row>
    <row r="51" spans="1:14" ht="18" customHeight="1" x14ac:dyDescent="0.25">
      <c r="A51" s="14">
        <v>50</v>
      </c>
      <c r="B51" s="14" t="s">
        <v>505</v>
      </c>
      <c r="C51" s="14">
        <v>18.5</v>
      </c>
      <c r="D51" s="14">
        <v>200</v>
      </c>
      <c r="E51" s="14">
        <v>260</v>
      </c>
      <c r="F51" s="14">
        <v>22</v>
      </c>
      <c r="G51" s="21">
        <f t="shared" si="3"/>
        <v>24200000</v>
      </c>
      <c r="H51" s="22">
        <f t="shared" si="4"/>
        <v>29400000</v>
      </c>
      <c r="I51" s="23">
        <f t="shared" si="5"/>
        <v>43200000</v>
      </c>
      <c r="J51" s="35">
        <v>17248000</v>
      </c>
      <c r="K51" s="35">
        <v>19980000</v>
      </c>
      <c r="L51" s="35"/>
      <c r="M51" s="40"/>
    </row>
    <row r="52" spans="1:14" ht="18" customHeight="1" x14ac:dyDescent="0.25">
      <c r="A52" s="8">
        <v>51</v>
      </c>
      <c r="B52" s="8" t="s">
        <v>506</v>
      </c>
      <c r="C52" s="8">
        <v>22</v>
      </c>
      <c r="D52" s="8">
        <v>80</v>
      </c>
      <c r="E52" s="8">
        <v>100</v>
      </c>
      <c r="F52" s="8">
        <v>50</v>
      </c>
      <c r="G52" s="21">
        <f t="shared" ref="G52:G63" si="6">ROUNDUP(K52*1.4, -5)</f>
        <v>33900000</v>
      </c>
      <c r="H52" s="22">
        <f t="shared" ref="H52:H63" si="7">ROUNDUP(K52*1.7, -5)</f>
        <v>41200000</v>
      </c>
      <c r="I52" s="23">
        <f t="shared" ref="I52:I63" si="8">ROUNDUP(K52*2.5, -5)</f>
        <v>60500000</v>
      </c>
      <c r="J52" s="33"/>
      <c r="K52" s="33">
        <v>24180000</v>
      </c>
      <c r="L52" s="33"/>
      <c r="M52" s="40"/>
    </row>
    <row r="53" spans="1:14" ht="18" customHeight="1" x14ac:dyDescent="0.25">
      <c r="A53" s="14">
        <v>52</v>
      </c>
      <c r="B53" s="14" t="s">
        <v>507</v>
      </c>
      <c r="C53" s="14">
        <v>22</v>
      </c>
      <c r="D53" s="14">
        <v>100</v>
      </c>
      <c r="E53" s="14">
        <v>138</v>
      </c>
      <c r="F53" s="14">
        <v>37</v>
      </c>
      <c r="G53" s="21">
        <f t="shared" si="6"/>
        <v>33900000</v>
      </c>
      <c r="H53" s="22">
        <f t="shared" si="7"/>
        <v>41200000</v>
      </c>
      <c r="I53" s="23">
        <f t="shared" si="8"/>
        <v>60500000</v>
      </c>
      <c r="J53" s="35"/>
      <c r="K53" s="33">
        <v>24180000</v>
      </c>
      <c r="L53" s="35"/>
      <c r="M53" s="40"/>
    </row>
    <row r="54" spans="1:14" ht="18" customHeight="1" x14ac:dyDescent="0.25">
      <c r="A54" s="8">
        <v>53</v>
      </c>
      <c r="B54" s="8" t="s">
        <v>508</v>
      </c>
      <c r="C54" s="8">
        <v>22</v>
      </c>
      <c r="D54" s="8">
        <v>125</v>
      </c>
      <c r="E54" s="8">
        <v>160</v>
      </c>
      <c r="F54" s="8">
        <v>32</v>
      </c>
      <c r="G54" s="21">
        <f t="shared" si="6"/>
        <v>33900000</v>
      </c>
      <c r="H54" s="22">
        <f t="shared" si="7"/>
        <v>41200000</v>
      </c>
      <c r="I54" s="23">
        <f t="shared" si="8"/>
        <v>60500000</v>
      </c>
      <c r="J54" s="33"/>
      <c r="K54" s="33">
        <v>24180000</v>
      </c>
      <c r="L54" s="33"/>
      <c r="M54" s="40"/>
    </row>
    <row r="55" spans="1:14" ht="18" customHeight="1" x14ac:dyDescent="0.25">
      <c r="A55" s="14">
        <v>54</v>
      </c>
      <c r="B55" s="14" t="s">
        <v>509</v>
      </c>
      <c r="C55" s="14">
        <v>22</v>
      </c>
      <c r="D55" s="14">
        <v>150</v>
      </c>
      <c r="E55" s="14">
        <v>200</v>
      </c>
      <c r="F55" s="14">
        <v>30</v>
      </c>
      <c r="G55" s="21">
        <f t="shared" si="6"/>
        <v>33900000</v>
      </c>
      <c r="H55" s="22">
        <f t="shared" si="7"/>
        <v>41200000</v>
      </c>
      <c r="I55" s="23">
        <f t="shared" si="8"/>
        <v>60500000</v>
      </c>
      <c r="J55" s="35"/>
      <c r="K55" s="33">
        <v>24180000</v>
      </c>
      <c r="L55" s="35"/>
      <c r="M55" s="40"/>
    </row>
    <row r="56" spans="1:14" ht="18" customHeight="1" x14ac:dyDescent="0.25">
      <c r="A56" s="8">
        <v>55</v>
      </c>
      <c r="B56" s="8" t="s">
        <v>510</v>
      </c>
      <c r="C56" s="8">
        <v>22</v>
      </c>
      <c r="D56" s="8">
        <v>200</v>
      </c>
      <c r="E56" s="8">
        <v>245</v>
      </c>
      <c r="F56" s="8">
        <v>25</v>
      </c>
      <c r="G56" s="21">
        <f t="shared" si="6"/>
        <v>33900000</v>
      </c>
      <c r="H56" s="22">
        <f t="shared" si="7"/>
        <v>41200000</v>
      </c>
      <c r="I56" s="23">
        <f t="shared" si="8"/>
        <v>60500000</v>
      </c>
      <c r="J56" s="33"/>
      <c r="K56" s="33">
        <v>24180000</v>
      </c>
      <c r="L56" s="33"/>
      <c r="M56" s="40"/>
    </row>
    <row r="57" spans="1:14" ht="18" customHeight="1" x14ac:dyDescent="0.25">
      <c r="A57" s="14">
        <v>56</v>
      </c>
      <c r="B57" s="14" t="s">
        <v>511</v>
      </c>
      <c r="C57" s="14">
        <v>30</v>
      </c>
      <c r="D57" s="14">
        <v>125</v>
      </c>
      <c r="E57" s="14">
        <v>150</v>
      </c>
      <c r="F57" s="14">
        <v>45</v>
      </c>
      <c r="G57" s="21">
        <f t="shared" si="6"/>
        <v>50800000</v>
      </c>
      <c r="H57" s="22">
        <f t="shared" si="7"/>
        <v>61700000</v>
      </c>
      <c r="I57" s="23">
        <f t="shared" si="8"/>
        <v>90700000</v>
      </c>
      <c r="J57" s="35"/>
      <c r="K57" s="35">
        <f>K56*1.5</f>
        <v>36270000</v>
      </c>
      <c r="L57" s="35"/>
      <c r="M57" s="40"/>
      <c r="N57" s="29" t="s">
        <v>491</v>
      </c>
    </row>
    <row r="58" spans="1:14" ht="18" customHeight="1" x14ac:dyDescent="0.25">
      <c r="A58" s="8">
        <v>57</v>
      </c>
      <c r="B58" s="8" t="s">
        <v>512</v>
      </c>
      <c r="C58" s="8">
        <v>30</v>
      </c>
      <c r="D58" s="8">
        <v>150</v>
      </c>
      <c r="E58" s="8">
        <v>172</v>
      </c>
      <c r="F58" s="8">
        <v>37</v>
      </c>
      <c r="G58" s="21">
        <f t="shared" si="6"/>
        <v>50800000</v>
      </c>
      <c r="H58" s="22">
        <f t="shared" si="7"/>
        <v>61700000</v>
      </c>
      <c r="I58" s="23">
        <f t="shared" si="8"/>
        <v>90700000</v>
      </c>
      <c r="J58" s="33"/>
      <c r="K58" s="35">
        <v>36270000</v>
      </c>
      <c r="L58" s="33"/>
      <c r="M58" s="40"/>
      <c r="N58" s="29" t="s">
        <v>491</v>
      </c>
    </row>
    <row r="59" spans="1:14" ht="18" customHeight="1" x14ac:dyDescent="0.25">
      <c r="A59" s="14">
        <v>58</v>
      </c>
      <c r="B59" s="14" t="s">
        <v>513</v>
      </c>
      <c r="C59" s="14">
        <v>30</v>
      </c>
      <c r="D59" s="14">
        <v>200</v>
      </c>
      <c r="E59" s="14">
        <v>260</v>
      </c>
      <c r="F59" s="14">
        <v>34</v>
      </c>
      <c r="G59" s="21">
        <f t="shared" si="6"/>
        <v>50800000</v>
      </c>
      <c r="H59" s="22">
        <f t="shared" si="7"/>
        <v>61700000</v>
      </c>
      <c r="I59" s="23">
        <f t="shared" si="8"/>
        <v>90700000</v>
      </c>
      <c r="J59" s="35"/>
      <c r="K59" s="35">
        <v>36270000</v>
      </c>
      <c r="L59" s="35"/>
      <c r="M59" s="40"/>
      <c r="N59" s="29" t="s">
        <v>491</v>
      </c>
    </row>
    <row r="60" spans="1:14" ht="18" customHeight="1" x14ac:dyDescent="0.25">
      <c r="A60" s="8">
        <v>59</v>
      </c>
      <c r="B60" s="8" t="s">
        <v>514</v>
      </c>
      <c r="C60" s="8">
        <v>37</v>
      </c>
      <c r="D60" s="8">
        <v>125</v>
      </c>
      <c r="E60" s="8">
        <v>160</v>
      </c>
      <c r="F60" s="8">
        <v>50</v>
      </c>
      <c r="G60" s="21">
        <f t="shared" si="6"/>
        <v>71000000</v>
      </c>
      <c r="H60" s="22">
        <f t="shared" si="7"/>
        <v>86200000</v>
      </c>
      <c r="I60" s="23">
        <f t="shared" si="8"/>
        <v>126800000</v>
      </c>
      <c r="J60" s="33"/>
      <c r="K60" s="33">
        <v>50700000</v>
      </c>
      <c r="L60" s="33"/>
      <c r="M60" s="40"/>
      <c r="N60" s="29" t="s">
        <v>491</v>
      </c>
    </row>
    <row r="61" spans="1:14" ht="18" customHeight="1" x14ac:dyDescent="0.25">
      <c r="A61" s="14">
        <v>60</v>
      </c>
      <c r="B61" s="14" t="s">
        <v>515</v>
      </c>
      <c r="C61" s="14">
        <v>37</v>
      </c>
      <c r="D61" s="14">
        <v>150</v>
      </c>
      <c r="E61" s="14">
        <v>187</v>
      </c>
      <c r="F61" s="14">
        <v>44</v>
      </c>
      <c r="G61" s="21">
        <f t="shared" si="6"/>
        <v>71000000</v>
      </c>
      <c r="H61" s="22">
        <f t="shared" si="7"/>
        <v>86200000</v>
      </c>
      <c r="I61" s="23">
        <f t="shared" si="8"/>
        <v>126800000</v>
      </c>
      <c r="J61" s="35"/>
      <c r="K61" s="35">
        <v>50700000</v>
      </c>
      <c r="L61" s="35"/>
      <c r="M61" s="40"/>
      <c r="N61" s="29" t="s">
        <v>491</v>
      </c>
    </row>
    <row r="62" spans="1:14" ht="18" customHeight="1" x14ac:dyDescent="0.25">
      <c r="A62" s="8">
        <v>61</v>
      </c>
      <c r="B62" s="8" t="s">
        <v>516</v>
      </c>
      <c r="C62" s="8">
        <v>37</v>
      </c>
      <c r="D62" s="8">
        <v>200</v>
      </c>
      <c r="E62" s="8">
        <v>248</v>
      </c>
      <c r="F62" s="8">
        <v>46</v>
      </c>
      <c r="G62" s="21">
        <f t="shared" si="6"/>
        <v>98000000</v>
      </c>
      <c r="H62" s="22">
        <f t="shared" si="7"/>
        <v>119000000</v>
      </c>
      <c r="I62" s="23">
        <f t="shared" si="8"/>
        <v>175000000</v>
      </c>
      <c r="J62" s="33"/>
      <c r="K62" s="33">
        <v>70000000</v>
      </c>
      <c r="L62" s="33"/>
      <c r="M62" s="40"/>
      <c r="N62" s="29" t="s">
        <v>491</v>
      </c>
    </row>
    <row r="63" spans="1:14" ht="18" customHeight="1" x14ac:dyDescent="0.25">
      <c r="A63" s="14">
        <v>62</v>
      </c>
      <c r="B63" s="14" t="s">
        <v>517</v>
      </c>
      <c r="C63" s="14">
        <v>45</v>
      </c>
      <c r="D63" s="14">
        <v>200</v>
      </c>
      <c r="E63" s="14">
        <v>292</v>
      </c>
      <c r="F63" s="14">
        <v>52</v>
      </c>
      <c r="G63" s="21">
        <f t="shared" si="6"/>
        <v>113700000</v>
      </c>
      <c r="H63" s="22">
        <f t="shared" si="7"/>
        <v>138100000</v>
      </c>
      <c r="I63" s="23">
        <f t="shared" si="8"/>
        <v>203000000</v>
      </c>
      <c r="J63" s="35"/>
      <c r="K63" s="35">
        <v>81200000</v>
      </c>
      <c r="L63" s="35"/>
      <c r="M63" s="40"/>
      <c r="N63" s="29" t="s">
        <v>491</v>
      </c>
    </row>
    <row r="64" spans="1:14" ht="18" customHeight="1" x14ac:dyDescent="0.25"/>
  </sheetData>
  <mergeCells count="2">
    <mergeCell ref="M2:M63"/>
    <mergeCell ref="N2:N7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zoomScaleNormal="100" workbookViewId="0">
      <pane ySplit="1" topLeftCell="A2" activePane="bottomLeft" state="frozen"/>
      <selection pane="bottomLeft" activeCell="P34" sqref="P34"/>
    </sheetView>
  </sheetViews>
  <sheetFormatPr defaultColWidth="8.7109375" defaultRowHeight="15" x14ac:dyDescent="0.25"/>
  <cols>
    <col min="1" max="1" width="5" style="1" customWidth="1"/>
    <col min="2" max="2" width="24" style="1" customWidth="1"/>
    <col min="3" max="4" width="12" style="1" customWidth="1"/>
    <col min="5" max="5" width="13" style="1" customWidth="1"/>
    <col min="6" max="6" width="11" style="1" customWidth="1"/>
    <col min="7" max="9" width="13" style="24" customWidth="1"/>
    <col min="10" max="12" width="14" style="1" customWidth="1"/>
  </cols>
  <sheetData>
    <row r="1" spans="1:12" ht="30" customHeight="1" x14ac:dyDescent="0.25">
      <c r="A1" s="2" t="s">
        <v>0</v>
      </c>
      <c r="B1" s="2" t="s">
        <v>1</v>
      </c>
      <c r="C1" s="2" t="s">
        <v>518</v>
      </c>
      <c r="D1" s="2" t="s">
        <v>338</v>
      </c>
      <c r="E1" s="2" t="s">
        <v>104</v>
      </c>
      <c r="F1" s="2" t="s">
        <v>105</v>
      </c>
      <c r="G1" s="25" t="s">
        <v>6</v>
      </c>
      <c r="H1" s="26" t="s">
        <v>7</v>
      </c>
      <c r="I1" s="27" t="s">
        <v>8</v>
      </c>
      <c r="J1" s="6" t="s">
        <v>196</v>
      </c>
      <c r="K1" s="6" t="s">
        <v>519</v>
      </c>
      <c r="L1" s="6" t="s">
        <v>195</v>
      </c>
    </row>
    <row r="2" spans="1:12" ht="18" customHeight="1" x14ac:dyDescent="0.25">
      <c r="A2" s="8">
        <v>1</v>
      </c>
      <c r="B2" s="8" t="s">
        <v>520</v>
      </c>
      <c r="C2" s="8">
        <v>1.5</v>
      </c>
      <c r="D2" s="8" t="s">
        <v>521</v>
      </c>
      <c r="E2" s="8" t="s">
        <v>522</v>
      </c>
      <c r="F2" s="8" t="s">
        <v>523</v>
      </c>
      <c r="G2" s="9">
        <v>4700000</v>
      </c>
      <c r="H2" s="10">
        <v>5400000</v>
      </c>
      <c r="I2" s="19">
        <v>8730000</v>
      </c>
      <c r="J2" s="12">
        <v>3800000</v>
      </c>
      <c r="K2" s="20">
        <v>3744000</v>
      </c>
      <c r="L2" s="20">
        <v>3650000</v>
      </c>
    </row>
    <row r="3" spans="1:12" ht="18" customHeight="1" x14ac:dyDescent="0.25">
      <c r="A3" s="14">
        <v>2</v>
      </c>
      <c r="B3" s="14" t="s">
        <v>524</v>
      </c>
      <c r="C3" s="14">
        <v>2.2000000000000002</v>
      </c>
      <c r="D3" s="14" t="s">
        <v>521</v>
      </c>
      <c r="E3" s="14" t="s">
        <v>525</v>
      </c>
      <c r="F3" s="14" t="s">
        <v>526</v>
      </c>
      <c r="G3" s="9">
        <v>5300000</v>
      </c>
      <c r="H3" s="10">
        <v>6200000</v>
      </c>
      <c r="I3" s="19">
        <v>9900000</v>
      </c>
      <c r="J3" s="15">
        <v>4200000</v>
      </c>
      <c r="K3" s="20">
        <v>4264000</v>
      </c>
      <c r="L3" s="20">
        <v>4150000</v>
      </c>
    </row>
    <row r="4" spans="1:12" ht="18" customHeight="1" x14ac:dyDescent="0.25">
      <c r="A4" s="14">
        <v>4</v>
      </c>
      <c r="B4" s="8" t="s">
        <v>830</v>
      </c>
      <c r="C4" s="8">
        <v>3</v>
      </c>
      <c r="D4" s="8" t="s">
        <v>521</v>
      </c>
      <c r="E4" s="8" t="s">
        <v>527</v>
      </c>
      <c r="F4" s="8" t="s">
        <v>831</v>
      </c>
      <c r="G4" s="9">
        <v>5700000</v>
      </c>
      <c r="H4" s="10">
        <v>6600000</v>
      </c>
      <c r="I4" s="37">
        <v>10440000</v>
      </c>
      <c r="J4" s="12">
        <v>4500000</v>
      </c>
      <c r="K4" s="20">
        <v>4552000</v>
      </c>
      <c r="L4" s="20">
        <v>4400000</v>
      </c>
    </row>
    <row r="5" spans="1:12" ht="18" customHeight="1" x14ac:dyDescent="0.25">
      <c r="A5" s="8">
        <v>5</v>
      </c>
      <c r="B5" s="8" t="s">
        <v>528</v>
      </c>
      <c r="C5" s="8">
        <v>4</v>
      </c>
      <c r="D5" s="8" t="s">
        <v>521</v>
      </c>
      <c r="E5" s="8" t="s">
        <v>527</v>
      </c>
      <c r="F5" s="8" t="s">
        <v>529</v>
      </c>
      <c r="G5" s="9">
        <v>7400000</v>
      </c>
      <c r="H5" s="10">
        <v>8600000</v>
      </c>
      <c r="I5" s="19">
        <v>11250000</v>
      </c>
      <c r="J5" s="12">
        <v>5900000</v>
      </c>
      <c r="K5" s="20"/>
      <c r="L5" s="20">
        <v>5300000</v>
      </c>
    </row>
    <row r="6" spans="1:12" ht="18" customHeight="1" x14ac:dyDescent="0.25">
      <c r="A6" s="14">
        <v>6</v>
      </c>
      <c r="B6" s="14" t="s">
        <v>530</v>
      </c>
      <c r="C6" s="14">
        <v>5.5</v>
      </c>
      <c r="D6" s="14" t="s">
        <v>521</v>
      </c>
      <c r="E6" s="14" t="s">
        <v>525</v>
      </c>
      <c r="F6" s="14" t="s">
        <v>531</v>
      </c>
      <c r="G6" s="9">
        <v>9500000</v>
      </c>
      <c r="H6" s="10">
        <v>11000000</v>
      </c>
      <c r="I6" s="19">
        <v>17280000</v>
      </c>
      <c r="J6" s="20">
        <v>7200000</v>
      </c>
      <c r="K6" s="15"/>
      <c r="L6" s="15"/>
    </row>
    <row r="7" spans="1:12" ht="18" customHeight="1" x14ac:dyDescent="0.25">
      <c r="A7" s="8">
        <v>7</v>
      </c>
      <c r="B7" s="8" t="s">
        <v>532</v>
      </c>
      <c r="C7" s="8">
        <v>7.5</v>
      </c>
      <c r="D7" s="8" t="s">
        <v>521</v>
      </c>
      <c r="E7" s="8" t="s">
        <v>525</v>
      </c>
      <c r="F7" s="8" t="s">
        <v>533</v>
      </c>
      <c r="G7" s="9">
        <v>9700000</v>
      </c>
      <c r="H7" s="10">
        <v>11300000</v>
      </c>
      <c r="I7" s="19">
        <v>18000000</v>
      </c>
      <c r="J7" s="12">
        <v>8600000</v>
      </c>
      <c r="K7" s="20"/>
      <c r="L7" s="20"/>
    </row>
    <row r="8" spans="1:12" ht="18" customHeight="1" x14ac:dyDescent="0.25">
      <c r="A8" s="14">
        <v>8</v>
      </c>
      <c r="B8" s="14" t="s">
        <v>534</v>
      </c>
      <c r="C8" s="14">
        <v>9.1999999999999993</v>
      </c>
      <c r="D8" s="14" t="s">
        <v>521</v>
      </c>
      <c r="E8" s="14" t="s">
        <v>525</v>
      </c>
      <c r="F8" s="14" t="s">
        <v>535</v>
      </c>
      <c r="G8" s="9">
        <v>12000000</v>
      </c>
      <c r="H8" s="10">
        <v>14000000</v>
      </c>
      <c r="I8" s="19">
        <v>22200000</v>
      </c>
      <c r="J8" s="14"/>
      <c r="K8" s="14"/>
      <c r="L8" s="14"/>
    </row>
    <row r="9" spans="1:12" ht="18" customHeight="1" x14ac:dyDescent="0.25">
      <c r="A9" s="8">
        <v>13</v>
      </c>
      <c r="B9" s="8" t="s">
        <v>536</v>
      </c>
      <c r="C9" s="8">
        <v>3</v>
      </c>
      <c r="D9" s="8" t="s">
        <v>537</v>
      </c>
      <c r="E9" s="8" t="s">
        <v>538</v>
      </c>
      <c r="F9" s="8" t="s">
        <v>539</v>
      </c>
      <c r="G9" s="9">
        <v>5700000</v>
      </c>
      <c r="H9" s="10">
        <v>6600000</v>
      </c>
      <c r="I9" s="19">
        <v>10440000</v>
      </c>
      <c r="J9" s="12">
        <v>4500000</v>
      </c>
      <c r="K9" s="20"/>
      <c r="L9" s="20"/>
    </row>
    <row r="10" spans="1:12" ht="18" customHeight="1" x14ac:dyDescent="0.25">
      <c r="A10" s="14">
        <v>14</v>
      </c>
      <c r="B10" s="14" t="s">
        <v>540</v>
      </c>
      <c r="C10" s="14">
        <v>4</v>
      </c>
      <c r="D10" s="14" t="s">
        <v>537</v>
      </c>
      <c r="E10" s="14" t="s">
        <v>541</v>
      </c>
      <c r="F10" s="14" t="s">
        <v>542</v>
      </c>
      <c r="G10" s="9">
        <v>7400000</v>
      </c>
      <c r="H10" s="10">
        <v>8600000</v>
      </c>
      <c r="I10" s="19">
        <v>11250000</v>
      </c>
      <c r="J10" s="15">
        <v>5900000</v>
      </c>
      <c r="K10" s="20">
        <v>5464000</v>
      </c>
      <c r="L10" s="20">
        <v>5300000</v>
      </c>
    </row>
    <row r="11" spans="1:12" ht="18" customHeight="1" x14ac:dyDescent="0.25">
      <c r="A11" s="8">
        <v>15</v>
      </c>
      <c r="B11" s="8" t="s">
        <v>543</v>
      </c>
      <c r="C11" s="8">
        <v>5.5</v>
      </c>
      <c r="D11" s="8" t="s">
        <v>537</v>
      </c>
      <c r="E11" s="8" t="s">
        <v>538</v>
      </c>
      <c r="F11" s="8" t="s">
        <v>544</v>
      </c>
      <c r="G11" s="9">
        <v>9500000</v>
      </c>
      <c r="H11" s="10">
        <v>11000000</v>
      </c>
      <c r="I11" s="19">
        <v>17280000</v>
      </c>
      <c r="J11" s="20">
        <v>7200000</v>
      </c>
      <c r="K11" s="12">
        <v>7320000</v>
      </c>
      <c r="L11" s="12">
        <v>7000000</v>
      </c>
    </row>
    <row r="12" spans="1:12" ht="18" customHeight="1" x14ac:dyDescent="0.25">
      <c r="A12" s="14">
        <v>16</v>
      </c>
      <c r="B12" s="14" t="s">
        <v>545</v>
      </c>
      <c r="C12" s="14">
        <v>7.5</v>
      </c>
      <c r="D12" s="14" t="s">
        <v>537</v>
      </c>
      <c r="E12" s="14" t="s">
        <v>541</v>
      </c>
      <c r="F12" s="14" t="s">
        <v>546</v>
      </c>
      <c r="G12" s="9">
        <v>9700000</v>
      </c>
      <c r="H12" s="10">
        <v>11300000</v>
      </c>
      <c r="I12" s="19">
        <v>18000000</v>
      </c>
      <c r="J12" s="15">
        <v>8600000</v>
      </c>
      <c r="K12" s="20">
        <v>7520000</v>
      </c>
      <c r="L12" s="20">
        <v>7200000</v>
      </c>
    </row>
    <row r="13" spans="1:12" ht="18" customHeight="1" x14ac:dyDescent="0.25">
      <c r="A13" s="8">
        <v>17</v>
      </c>
      <c r="B13" s="8" t="s">
        <v>547</v>
      </c>
      <c r="C13" s="8">
        <v>9.1999999999999993</v>
      </c>
      <c r="D13" s="8" t="s">
        <v>537</v>
      </c>
      <c r="E13" s="8" t="s">
        <v>541</v>
      </c>
      <c r="F13" s="8" t="s">
        <v>548</v>
      </c>
      <c r="G13" s="9">
        <v>12000000</v>
      </c>
      <c r="H13" s="10">
        <v>14000000</v>
      </c>
      <c r="I13" s="19">
        <v>22000000</v>
      </c>
      <c r="J13" s="8"/>
      <c r="K13" s="8"/>
      <c r="L13" s="8"/>
    </row>
    <row r="14" spans="1:12" ht="18" customHeight="1" x14ac:dyDescent="0.25">
      <c r="A14" s="14">
        <v>18</v>
      </c>
      <c r="B14" s="14" t="s">
        <v>549</v>
      </c>
      <c r="C14" s="14">
        <v>11</v>
      </c>
      <c r="D14" s="14" t="s">
        <v>537</v>
      </c>
      <c r="E14" s="14" t="s">
        <v>541</v>
      </c>
      <c r="F14" s="14" t="s">
        <v>550</v>
      </c>
      <c r="G14" s="9">
        <v>14000000</v>
      </c>
      <c r="H14" s="10">
        <v>16200000</v>
      </c>
      <c r="I14" s="19">
        <v>25200000</v>
      </c>
      <c r="J14" s="15">
        <v>11000000</v>
      </c>
      <c r="K14" s="20">
        <v>10640000</v>
      </c>
      <c r="L14" s="20">
        <v>10650000</v>
      </c>
    </row>
    <row r="15" spans="1:12" ht="18" customHeight="1" x14ac:dyDescent="0.25">
      <c r="A15" s="8">
        <v>19</v>
      </c>
      <c r="B15" s="8" t="s">
        <v>551</v>
      </c>
      <c r="C15" s="8">
        <v>15</v>
      </c>
      <c r="D15" s="8" t="s">
        <v>537</v>
      </c>
      <c r="E15" s="8" t="s">
        <v>541</v>
      </c>
      <c r="F15" s="8" t="s">
        <v>552</v>
      </c>
      <c r="G15" s="9">
        <v>15900000</v>
      </c>
      <c r="H15" s="10">
        <v>18400000</v>
      </c>
      <c r="I15" s="19">
        <v>28800000</v>
      </c>
      <c r="J15" s="12">
        <v>12700000</v>
      </c>
      <c r="K15" s="20">
        <v>12704000</v>
      </c>
      <c r="L15" s="20">
        <v>12300000</v>
      </c>
    </row>
    <row r="16" spans="1:12" ht="18" customHeight="1" x14ac:dyDescent="0.25">
      <c r="A16" s="14">
        <v>20</v>
      </c>
      <c r="B16" s="14" t="s">
        <v>553</v>
      </c>
      <c r="C16" s="14">
        <v>18.5</v>
      </c>
      <c r="D16" s="14" t="s">
        <v>537</v>
      </c>
      <c r="E16" s="14" t="s">
        <v>541</v>
      </c>
      <c r="F16" s="14" t="s">
        <v>554</v>
      </c>
      <c r="G16" s="9">
        <v>18400000</v>
      </c>
      <c r="H16" s="10">
        <v>21300000</v>
      </c>
      <c r="I16" s="19">
        <v>31950000</v>
      </c>
      <c r="J16" s="15">
        <v>14200000</v>
      </c>
      <c r="K16" s="20"/>
      <c r="L16" s="20"/>
    </row>
    <row r="17" spans="1:12" ht="18" customHeight="1" x14ac:dyDescent="0.25">
      <c r="A17" s="8">
        <v>23</v>
      </c>
      <c r="B17" s="8" t="s">
        <v>555</v>
      </c>
      <c r="C17" s="8">
        <v>4</v>
      </c>
      <c r="D17" s="8" t="s">
        <v>556</v>
      </c>
      <c r="E17" s="8" t="s">
        <v>557</v>
      </c>
      <c r="F17" s="8" t="s">
        <v>558</v>
      </c>
      <c r="G17" s="9">
        <v>7400000</v>
      </c>
      <c r="H17" s="10">
        <v>8600000</v>
      </c>
      <c r="I17" s="19">
        <v>11250000</v>
      </c>
      <c r="J17" s="12">
        <v>5900000</v>
      </c>
      <c r="K17" s="20"/>
      <c r="L17" s="20"/>
    </row>
    <row r="18" spans="1:12" ht="18" customHeight="1" x14ac:dyDescent="0.25">
      <c r="A18" s="14">
        <v>24</v>
      </c>
      <c r="B18" s="14" t="s">
        <v>559</v>
      </c>
      <c r="C18" s="14">
        <v>5.5</v>
      </c>
      <c r="D18" s="14" t="s">
        <v>556</v>
      </c>
      <c r="E18" s="14" t="s">
        <v>557</v>
      </c>
      <c r="F18" s="14" t="s">
        <v>560</v>
      </c>
      <c r="G18" s="9">
        <v>9500000</v>
      </c>
      <c r="H18" s="10">
        <v>11000000</v>
      </c>
      <c r="I18" s="19">
        <v>17280000</v>
      </c>
      <c r="J18" s="20">
        <v>7200000</v>
      </c>
      <c r="K18" s="15">
        <v>7320000</v>
      </c>
      <c r="L18" s="15">
        <v>7000000</v>
      </c>
    </row>
    <row r="19" spans="1:12" ht="18" customHeight="1" x14ac:dyDescent="0.25">
      <c r="A19" s="8">
        <v>25</v>
      </c>
      <c r="B19" s="8" t="s">
        <v>561</v>
      </c>
      <c r="C19" s="8">
        <v>7.5</v>
      </c>
      <c r="D19" s="8" t="s">
        <v>556</v>
      </c>
      <c r="E19" s="8" t="s">
        <v>562</v>
      </c>
      <c r="F19" s="8" t="s">
        <v>563</v>
      </c>
      <c r="G19" s="9">
        <v>9700000</v>
      </c>
      <c r="H19" s="10">
        <v>11300000</v>
      </c>
      <c r="I19" s="19">
        <v>18000000</v>
      </c>
      <c r="J19" s="12">
        <v>8600000</v>
      </c>
      <c r="K19" s="20">
        <v>7520000</v>
      </c>
      <c r="L19" s="20">
        <v>7200000</v>
      </c>
    </row>
    <row r="20" spans="1:12" ht="18" customHeight="1" x14ac:dyDescent="0.25">
      <c r="A20" s="14">
        <v>26</v>
      </c>
      <c r="B20" s="14" t="s">
        <v>564</v>
      </c>
      <c r="C20" s="14">
        <v>9.1999999999999993</v>
      </c>
      <c r="D20" s="14" t="s">
        <v>556</v>
      </c>
      <c r="E20" s="14" t="s">
        <v>557</v>
      </c>
      <c r="F20" s="14" t="s">
        <v>565</v>
      </c>
      <c r="G20" s="9">
        <v>12000000</v>
      </c>
      <c r="H20" s="10">
        <v>14000000</v>
      </c>
      <c r="I20" s="19">
        <v>22200000</v>
      </c>
      <c r="J20" s="14"/>
      <c r="K20" s="14"/>
      <c r="L20" s="14"/>
    </row>
    <row r="21" spans="1:12" ht="18" customHeight="1" x14ac:dyDescent="0.25">
      <c r="A21" s="8">
        <v>27</v>
      </c>
      <c r="B21" s="8" t="s">
        <v>566</v>
      </c>
      <c r="C21" s="8">
        <v>11</v>
      </c>
      <c r="D21" s="8" t="s">
        <v>556</v>
      </c>
      <c r="E21" s="8" t="s">
        <v>562</v>
      </c>
      <c r="F21" s="8" t="s">
        <v>567</v>
      </c>
      <c r="G21" s="9">
        <v>14000000</v>
      </c>
      <c r="H21" s="10">
        <v>16200000</v>
      </c>
      <c r="I21" s="19">
        <v>25200000</v>
      </c>
      <c r="J21" s="12">
        <v>11000000</v>
      </c>
      <c r="K21" s="20">
        <v>10640000</v>
      </c>
      <c r="L21" s="20">
        <v>10650000</v>
      </c>
    </row>
    <row r="22" spans="1:12" ht="18" customHeight="1" x14ac:dyDescent="0.25">
      <c r="A22" s="14">
        <v>28</v>
      </c>
      <c r="B22" s="14" t="s">
        <v>568</v>
      </c>
      <c r="C22" s="14">
        <v>15</v>
      </c>
      <c r="D22" s="14" t="s">
        <v>556</v>
      </c>
      <c r="E22" s="14" t="s">
        <v>562</v>
      </c>
      <c r="F22" s="14" t="s">
        <v>569</v>
      </c>
      <c r="G22" s="9">
        <v>15900000</v>
      </c>
      <c r="H22" s="10">
        <v>18400000</v>
      </c>
      <c r="I22" s="19">
        <v>28800000</v>
      </c>
      <c r="J22" s="15">
        <v>12700000</v>
      </c>
      <c r="K22" s="20">
        <v>12704000</v>
      </c>
      <c r="L22" s="20">
        <v>12300000</v>
      </c>
    </row>
    <row r="23" spans="1:12" ht="18" customHeight="1" x14ac:dyDescent="0.25">
      <c r="A23" s="14">
        <v>30</v>
      </c>
      <c r="B23" s="14" t="s">
        <v>570</v>
      </c>
      <c r="C23" s="14">
        <v>18.5</v>
      </c>
      <c r="D23" s="14" t="s">
        <v>556</v>
      </c>
      <c r="E23" s="14" t="s">
        <v>562</v>
      </c>
      <c r="F23" s="14" t="s">
        <v>571</v>
      </c>
      <c r="G23" s="9">
        <v>18400000</v>
      </c>
      <c r="H23" s="10">
        <v>21300000</v>
      </c>
      <c r="I23" s="19">
        <v>31950000</v>
      </c>
      <c r="J23" s="15">
        <v>14200000</v>
      </c>
      <c r="K23" s="20">
        <v>14704000</v>
      </c>
      <c r="L23" s="20">
        <v>14000000</v>
      </c>
    </row>
    <row r="24" spans="1:12" ht="18" customHeight="1" x14ac:dyDescent="0.25">
      <c r="A24" s="8">
        <v>31</v>
      </c>
      <c r="B24" s="8" t="s">
        <v>572</v>
      </c>
      <c r="C24" s="8">
        <v>22</v>
      </c>
      <c r="D24" s="8" t="s">
        <v>556</v>
      </c>
      <c r="E24" s="8" t="s">
        <v>562</v>
      </c>
      <c r="F24" s="8" t="s">
        <v>573</v>
      </c>
      <c r="G24" s="9">
        <v>23300000</v>
      </c>
      <c r="H24" s="10">
        <v>27000000</v>
      </c>
      <c r="I24" s="19">
        <v>40500000</v>
      </c>
      <c r="J24" s="12">
        <v>18400000</v>
      </c>
      <c r="K24" s="20">
        <v>17720000</v>
      </c>
      <c r="L24" s="20">
        <v>17750000</v>
      </c>
    </row>
    <row r="25" spans="1:12" ht="18" customHeight="1" x14ac:dyDescent="0.25">
      <c r="A25" s="8">
        <v>33</v>
      </c>
      <c r="B25" s="8" t="s">
        <v>574</v>
      </c>
      <c r="C25" s="8">
        <v>5.5</v>
      </c>
      <c r="D25" s="8" t="s">
        <v>575</v>
      </c>
      <c r="E25" s="8" t="s">
        <v>576</v>
      </c>
      <c r="F25" s="8" t="s">
        <v>577</v>
      </c>
      <c r="G25" s="9">
        <v>9500000</v>
      </c>
      <c r="H25" s="10">
        <v>11000000</v>
      </c>
      <c r="I25" s="19">
        <v>17280000</v>
      </c>
      <c r="J25" s="20">
        <v>7200000</v>
      </c>
      <c r="K25" s="12">
        <v>7464000</v>
      </c>
      <c r="L25" s="12">
        <v>7000000</v>
      </c>
    </row>
    <row r="26" spans="1:12" ht="18" customHeight="1" x14ac:dyDescent="0.25">
      <c r="A26" s="14">
        <v>34</v>
      </c>
      <c r="B26" s="14" t="s">
        <v>578</v>
      </c>
      <c r="C26" s="14">
        <v>7.5</v>
      </c>
      <c r="D26" s="14" t="s">
        <v>575</v>
      </c>
      <c r="E26" s="14" t="s">
        <v>579</v>
      </c>
      <c r="F26" s="14" t="s">
        <v>580</v>
      </c>
      <c r="G26" s="9">
        <v>9700000</v>
      </c>
      <c r="H26" s="10">
        <v>11300000</v>
      </c>
      <c r="I26" s="19">
        <v>18000000</v>
      </c>
      <c r="J26" s="15">
        <v>8600000</v>
      </c>
      <c r="K26" s="20">
        <v>7664000</v>
      </c>
      <c r="L26" s="20">
        <v>7200000</v>
      </c>
    </row>
    <row r="27" spans="1:12" ht="18" customHeight="1" x14ac:dyDescent="0.25">
      <c r="A27" s="8">
        <v>35</v>
      </c>
      <c r="B27" s="8" t="s">
        <v>581</v>
      </c>
      <c r="C27" s="8">
        <v>9.1999999999999993</v>
      </c>
      <c r="D27" s="8" t="s">
        <v>575</v>
      </c>
      <c r="E27" s="8" t="s">
        <v>579</v>
      </c>
      <c r="F27" s="8" t="s">
        <v>582</v>
      </c>
      <c r="G27" s="9">
        <v>12000000</v>
      </c>
      <c r="H27" s="10">
        <v>14000000</v>
      </c>
      <c r="I27" s="19">
        <v>22200000</v>
      </c>
      <c r="J27" s="8"/>
      <c r="K27" s="8"/>
      <c r="L27" s="8"/>
    </row>
    <row r="28" spans="1:12" ht="18" customHeight="1" x14ac:dyDescent="0.25">
      <c r="A28" s="14">
        <v>36</v>
      </c>
      <c r="B28" s="14" t="s">
        <v>583</v>
      </c>
      <c r="C28" s="14">
        <v>11</v>
      </c>
      <c r="D28" s="14" t="s">
        <v>575</v>
      </c>
      <c r="E28" s="14" t="s">
        <v>579</v>
      </c>
      <c r="F28" s="14" t="s">
        <v>584</v>
      </c>
      <c r="G28" s="9">
        <v>14000000</v>
      </c>
      <c r="H28" s="10">
        <v>16200000</v>
      </c>
      <c r="I28" s="19">
        <v>25200000</v>
      </c>
      <c r="J28" s="15">
        <v>11000000</v>
      </c>
      <c r="K28" s="20">
        <v>10640000</v>
      </c>
      <c r="L28" s="20">
        <v>10650000</v>
      </c>
    </row>
    <row r="29" spans="1:12" ht="18" customHeight="1" x14ac:dyDescent="0.25">
      <c r="A29" s="8">
        <v>37</v>
      </c>
      <c r="B29" s="8" t="s">
        <v>585</v>
      </c>
      <c r="C29" s="8">
        <v>15</v>
      </c>
      <c r="D29" s="8" t="s">
        <v>575</v>
      </c>
      <c r="E29" s="8" t="s">
        <v>586</v>
      </c>
      <c r="F29" s="8" t="s">
        <v>587</v>
      </c>
      <c r="G29" s="9">
        <v>15900000</v>
      </c>
      <c r="H29" s="10">
        <v>18400000</v>
      </c>
      <c r="I29" s="19">
        <v>28800000</v>
      </c>
      <c r="J29" s="12">
        <v>12700000</v>
      </c>
      <c r="K29" s="20">
        <v>12704000</v>
      </c>
      <c r="L29" s="20">
        <v>12300000</v>
      </c>
    </row>
    <row r="30" spans="1:12" ht="18" customHeight="1" x14ac:dyDescent="0.25">
      <c r="A30" s="8">
        <v>39</v>
      </c>
      <c r="B30" s="8" t="s">
        <v>588</v>
      </c>
      <c r="C30" s="8">
        <v>18.5</v>
      </c>
      <c r="D30" s="8" t="s">
        <v>575</v>
      </c>
      <c r="E30" s="8" t="s">
        <v>579</v>
      </c>
      <c r="F30" s="8" t="s">
        <v>589</v>
      </c>
      <c r="G30" s="9">
        <v>18400000</v>
      </c>
      <c r="H30" s="10">
        <v>21300000</v>
      </c>
      <c r="I30" s="19">
        <v>31950000</v>
      </c>
      <c r="J30" s="12">
        <v>14200000</v>
      </c>
      <c r="K30" s="20">
        <v>15040000</v>
      </c>
      <c r="L30" s="20">
        <v>14350000</v>
      </c>
    </row>
    <row r="31" spans="1:12" ht="18" customHeight="1" x14ac:dyDescent="0.25">
      <c r="A31" s="14">
        <v>40</v>
      </c>
      <c r="B31" s="14" t="s">
        <v>590</v>
      </c>
      <c r="C31" s="14">
        <v>22</v>
      </c>
      <c r="D31" s="14" t="s">
        <v>575</v>
      </c>
      <c r="E31" s="14" t="s">
        <v>586</v>
      </c>
      <c r="F31" s="14" t="s">
        <v>591</v>
      </c>
      <c r="G31" s="9">
        <v>23300000</v>
      </c>
      <c r="H31" s="10">
        <v>27000000</v>
      </c>
      <c r="I31" s="19">
        <v>40500000</v>
      </c>
      <c r="J31" s="15">
        <v>18400000</v>
      </c>
      <c r="K31" s="20">
        <v>17720000</v>
      </c>
      <c r="L31" s="20">
        <v>17750000</v>
      </c>
    </row>
    <row r="32" spans="1:12" ht="18" customHeight="1" x14ac:dyDescent="0.25">
      <c r="A32" s="14">
        <v>42</v>
      </c>
      <c r="B32" s="14" t="s">
        <v>592</v>
      </c>
      <c r="C32" s="14">
        <v>30</v>
      </c>
      <c r="D32" s="14" t="s">
        <v>575</v>
      </c>
      <c r="E32" s="14" t="s">
        <v>586</v>
      </c>
      <c r="F32" s="14" t="s">
        <v>593</v>
      </c>
      <c r="G32" s="9">
        <v>31300000</v>
      </c>
      <c r="H32" s="10">
        <v>36300000</v>
      </c>
      <c r="I32" s="19">
        <v>70200000</v>
      </c>
      <c r="J32" s="15">
        <v>25200000</v>
      </c>
      <c r="K32" s="20">
        <v>25064000</v>
      </c>
      <c r="L32" s="20">
        <v>26000000</v>
      </c>
    </row>
    <row r="33" spans="1:12" ht="18" customHeight="1" x14ac:dyDescent="0.25">
      <c r="A33" s="8">
        <v>43</v>
      </c>
      <c r="B33" s="8" t="s">
        <v>594</v>
      </c>
      <c r="C33" s="8">
        <v>37</v>
      </c>
      <c r="D33" s="8" t="s">
        <v>575</v>
      </c>
      <c r="E33" s="8" t="s">
        <v>586</v>
      </c>
      <c r="F33" s="8" t="s">
        <v>595</v>
      </c>
      <c r="G33" s="9">
        <v>33000000</v>
      </c>
      <c r="H33" s="10">
        <v>38300000</v>
      </c>
      <c r="I33" s="19">
        <v>73800000</v>
      </c>
      <c r="J33" s="12">
        <v>27825000</v>
      </c>
      <c r="K33" s="20">
        <v>26416000</v>
      </c>
      <c r="L33" s="20">
        <v>27000000</v>
      </c>
    </row>
    <row r="34" spans="1:12" ht="18" customHeight="1" x14ac:dyDescent="0.25">
      <c r="A34" s="14">
        <v>44</v>
      </c>
      <c r="B34" s="14" t="s">
        <v>596</v>
      </c>
      <c r="C34" s="14">
        <v>45</v>
      </c>
      <c r="D34" s="14" t="s">
        <v>575</v>
      </c>
      <c r="E34" s="14" t="s">
        <v>597</v>
      </c>
      <c r="F34" s="14" t="s">
        <v>598</v>
      </c>
      <c r="G34" s="9">
        <v>38000000</v>
      </c>
      <c r="H34" s="10">
        <v>45000000</v>
      </c>
      <c r="I34" s="19">
        <v>90000000</v>
      </c>
      <c r="J34" s="14"/>
      <c r="K34" s="14"/>
      <c r="L34" s="14"/>
    </row>
    <row r="35" spans="1:12" ht="18" customHeight="1" x14ac:dyDescent="0.25">
      <c r="A35" s="14">
        <v>48</v>
      </c>
      <c r="B35" s="14" t="s">
        <v>599</v>
      </c>
      <c r="C35" s="14">
        <v>11</v>
      </c>
      <c r="D35" s="14" t="s">
        <v>600</v>
      </c>
      <c r="E35" s="14" t="s">
        <v>601</v>
      </c>
      <c r="F35" s="14" t="s">
        <v>602</v>
      </c>
      <c r="G35" s="9">
        <v>14000000</v>
      </c>
      <c r="H35" s="10">
        <v>16200000</v>
      </c>
      <c r="I35" s="19">
        <v>25200000</v>
      </c>
      <c r="J35" s="15">
        <v>11000000</v>
      </c>
      <c r="K35" s="20">
        <v>12448000</v>
      </c>
      <c r="L35" s="20">
        <v>12000000</v>
      </c>
    </row>
    <row r="36" spans="1:12" ht="18" customHeight="1" x14ac:dyDescent="0.25">
      <c r="A36" s="8">
        <v>49</v>
      </c>
      <c r="B36" s="8" t="s">
        <v>603</v>
      </c>
      <c r="C36" s="8">
        <v>15</v>
      </c>
      <c r="D36" s="8" t="s">
        <v>600</v>
      </c>
      <c r="E36" s="8" t="s">
        <v>604</v>
      </c>
      <c r="F36" s="8" t="s">
        <v>605</v>
      </c>
      <c r="G36" s="9">
        <v>15900000</v>
      </c>
      <c r="H36" s="10">
        <v>18400000</v>
      </c>
      <c r="I36" s="19">
        <v>28800000</v>
      </c>
      <c r="J36" s="12">
        <v>12700000</v>
      </c>
      <c r="K36" s="20">
        <v>13592000</v>
      </c>
      <c r="L36" s="20">
        <v>13000000</v>
      </c>
    </row>
    <row r="37" spans="1:12" ht="18" customHeight="1" x14ac:dyDescent="0.25">
      <c r="A37" s="14">
        <v>50</v>
      </c>
      <c r="B37" s="14" t="s">
        <v>606</v>
      </c>
      <c r="C37" s="14">
        <v>18.5</v>
      </c>
      <c r="D37" s="14" t="s">
        <v>600</v>
      </c>
      <c r="E37" s="14" t="s">
        <v>604</v>
      </c>
      <c r="F37" s="14" t="s">
        <v>607</v>
      </c>
      <c r="G37" s="9">
        <v>18400000</v>
      </c>
      <c r="H37" s="10">
        <v>21300000</v>
      </c>
      <c r="I37" s="19">
        <v>31950000</v>
      </c>
      <c r="J37" s="15">
        <v>14200000</v>
      </c>
      <c r="K37" s="20">
        <v>15040000</v>
      </c>
      <c r="L37" s="20">
        <v>14500000</v>
      </c>
    </row>
    <row r="38" spans="1:12" ht="18" customHeight="1" x14ac:dyDescent="0.25">
      <c r="A38" s="8">
        <v>51</v>
      </c>
      <c r="B38" s="8" t="s">
        <v>608</v>
      </c>
      <c r="C38" s="8">
        <v>22</v>
      </c>
      <c r="D38" s="8" t="s">
        <v>600</v>
      </c>
      <c r="E38" s="8" t="s">
        <v>604</v>
      </c>
      <c r="F38" s="8" t="s">
        <v>609</v>
      </c>
      <c r="G38" s="9">
        <v>23300000</v>
      </c>
      <c r="H38" s="10">
        <v>27000000</v>
      </c>
      <c r="I38" s="19">
        <v>40500000</v>
      </c>
      <c r="J38" s="12">
        <v>18400000</v>
      </c>
      <c r="K38" s="20">
        <v>19168000</v>
      </c>
      <c r="L38" s="20">
        <v>19000000</v>
      </c>
    </row>
    <row r="39" spans="1:12" ht="18" customHeight="1" x14ac:dyDescent="0.25">
      <c r="A39" s="8">
        <v>53</v>
      </c>
      <c r="B39" s="8" t="s">
        <v>610</v>
      </c>
      <c r="C39" s="8">
        <v>30</v>
      </c>
      <c r="D39" s="8" t="s">
        <v>600</v>
      </c>
      <c r="E39" s="8" t="s">
        <v>604</v>
      </c>
      <c r="F39" s="8" t="s">
        <v>611</v>
      </c>
      <c r="G39" s="9">
        <v>31300000</v>
      </c>
      <c r="H39" s="10">
        <v>36300000</v>
      </c>
      <c r="I39" s="19">
        <v>70200000</v>
      </c>
      <c r="J39" s="12">
        <v>25200000</v>
      </c>
      <c r="K39" s="20">
        <v>26800000</v>
      </c>
      <c r="L39" s="20">
        <v>26000000</v>
      </c>
    </row>
    <row r="40" spans="1:12" ht="18" customHeight="1" x14ac:dyDescent="0.25">
      <c r="A40" s="14">
        <v>54</v>
      </c>
      <c r="B40" s="14" t="s">
        <v>612</v>
      </c>
      <c r="C40" s="14">
        <v>37</v>
      </c>
      <c r="D40" s="14" t="s">
        <v>600</v>
      </c>
      <c r="E40" s="14" t="s">
        <v>604</v>
      </c>
      <c r="F40" s="14" t="s">
        <v>613</v>
      </c>
      <c r="G40" s="9">
        <v>33000000</v>
      </c>
      <c r="H40" s="10">
        <v>38300000</v>
      </c>
      <c r="I40" s="19">
        <v>73800000</v>
      </c>
      <c r="J40" s="15">
        <v>27825000</v>
      </c>
      <c r="K40" s="20">
        <v>28000000</v>
      </c>
      <c r="L40" s="20">
        <v>27000000</v>
      </c>
    </row>
    <row r="41" spans="1:12" ht="18" customHeight="1" x14ac:dyDescent="0.25">
      <c r="A41" s="8">
        <v>55</v>
      </c>
      <c r="B41" s="8" t="s">
        <v>614</v>
      </c>
      <c r="C41" s="8">
        <v>45</v>
      </c>
      <c r="D41" s="8" t="s">
        <v>600</v>
      </c>
      <c r="E41" s="8" t="s">
        <v>604</v>
      </c>
      <c r="F41" s="8" t="s">
        <v>615</v>
      </c>
      <c r="G41" s="9">
        <v>38000000</v>
      </c>
      <c r="H41" s="10">
        <v>45000000</v>
      </c>
      <c r="I41" s="19">
        <v>90000000</v>
      </c>
      <c r="J41" s="8"/>
      <c r="K41" s="8"/>
      <c r="L41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zoomScaleNormal="100" workbookViewId="0">
      <pane ySplit="1" topLeftCell="A2" activePane="bottomLeft" state="frozen"/>
      <selection pane="bottomLeft" activeCell="J28" sqref="J28"/>
    </sheetView>
  </sheetViews>
  <sheetFormatPr defaultColWidth="8.7109375" defaultRowHeight="15" x14ac:dyDescent="0.25"/>
  <cols>
    <col min="1" max="1" width="5" style="1" customWidth="1"/>
    <col min="2" max="2" width="24" style="1" customWidth="1"/>
    <col min="3" max="4" width="12" style="1" customWidth="1"/>
    <col min="5" max="5" width="13" style="1" customWidth="1"/>
    <col min="6" max="6" width="11" style="1" customWidth="1"/>
    <col min="7" max="10" width="13" style="1" customWidth="1"/>
    <col min="11" max="11" width="14" style="1" customWidth="1"/>
  </cols>
  <sheetData>
    <row r="1" spans="1:11" ht="30" customHeight="1" x14ac:dyDescent="0.25">
      <c r="A1" s="2" t="s">
        <v>0</v>
      </c>
      <c r="B1" s="2" t="s">
        <v>1</v>
      </c>
      <c r="C1" s="2" t="s">
        <v>518</v>
      </c>
      <c r="D1" s="2" t="s">
        <v>338</v>
      </c>
      <c r="E1" s="2" t="s">
        <v>104</v>
      </c>
      <c r="F1" s="2" t="s">
        <v>105</v>
      </c>
      <c r="G1" s="3" t="s">
        <v>6</v>
      </c>
      <c r="H1" s="4" t="s">
        <v>7</v>
      </c>
      <c r="I1" s="5" t="s">
        <v>8</v>
      </c>
      <c r="J1" s="6" t="s">
        <v>519</v>
      </c>
      <c r="K1" s="6" t="s">
        <v>616</v>
      </c>
    </row>
    <row r="2" spans="1:11" ht="18" customHeight="1" x14ac:dyDescent="0.25">
      <c r="A2" s="8">
        <v>1</v>
      </c>
      <c r="B2" s="8" t="s">
        <v>617</v>
      </c>
      <c r="C2" s="8">
        <v>1.5</v>
      </c>
      <c r="D2" s="8" t="s">
        <v>521</v>
      </c>
      <c r="E2" s="8" t="s">
        <v>618</v>
      </c>
      <c r="F2" s="8" t="s">
        <v>619</v>
      </c>
      <c r="G2" s="9">
        <v>7200000</v>
      </c>
      <c r="H2" s="10">
        <v>8200000</v>
      </c>
      <c r="I2" s="19">
        <v>13300000</v>
      </c>
      <c r="J2" s="12">
        <v>5321700</v>
      </c>
      <c r="K2" s="20">
        <v>4900000</v>
      </c>
    </row>
    <row r="3" spans="1:11" ht="18" customHeight="1" x14ac:dyDescent="0.25">
      <c r="A3" s="14">
        <v>2</v>
      </c>
      <c r="B3" s="14" t="s">
        <v>620</v>
      </c>
      <c r="C3" s="14">
        <v>2.2000000000000002</v>
      </c>
      <c r="D3" s="14" t="s">
        <v>521</v>
      </c>
      <c r="E3" s="14" t="s">
        <v>618</v>
      </c>
      <c r="F3" s="14" t="s">
        <v>621</v>
      </c>
      <c r="G3" s="9">
        <v>8400000</v>
      </c>
      <c r="H3" s="10">
        <v>9600000</v>
      </c>
      <c r="I3" s="19">
        <v>15500000</v>
      </c>
      <c r="J3" s="15">
        <v>6204600</v>
      </c>
      <c r="K3" s="20">
        <v>5800000</v>
      </c>
    </row>
    <row r="4" spans="1:11" ht="18" customHeight="1" x14ac:dyDescent="0.25">
      <c r="A4" s="8">
        <v>3</v>
      </c>
      <c r="B4" s="8" t="s">
        <v>622</v>
      </c>
      <c r="C4" s="8">
        <v>3</v>
      </c>
      <c r="D4" s="8" t="s">
        <v>521</v>
      </c>
      <c r="E4" s="8" t="s">
        <v>618</v>
      </c>
      <c r="F4" s="8" t="s">
        <v>623</v>
      </c>
      <c r="G4" s="9">
        <v>9900000</v>
      </c>
      <c r="H4" s="10">
        <v>11400000</v>
      </c>
      <c r="I4" s="19">
        <v>18400000</v>
      </c>
      <c r="J4" s="12">
        <v>7346700</v>
      </c>
      <c r="K4" s="20">
        <v>6900000</v>
      </c>
    </row>
    <row r="5" spans="1:11" ht="18" customHeight="1" x14ac:dyDescent="0.25">
      <c r="A5" s="14">
        <v>4</v>
      </c>
      <c r="B5" s="14" t="s">
        <v>624</v>
      </c>
      <c r="C5" s="14">
        <v>4</v>
      </c>
      <c r="D5" s="14" t="s">
        <v>521</v>
      </c>
      <c r="E5" s="14" t="s">
        <v>625</v>
      </c>
      <c r="F5" s="14" t="s">
        <v>626</v>
      </c>
      <c r="G5" s="9">
        <v>11500000</v>
      </c>
      <c r="H5" s="10">
        <v>13200000</v>
      </c>
      <c r="I5" s="19">
        <v>21200000</v>
      </c>
      <c r="J5" s="15">
        <v>8496900</v>
      </c>
      <c r="K5" s="14"/>
    </row>
    <row r="6" spans="1:11" ht="18" customHeight="1" x14ac:dyDescent="0.25">
      <c r="A6" s="8">
        <v>5</v>
      </c>
      <c r="B6" s="8" t="s">
        <v>627</v>
      </c>
      <c r="C6" s="8">
        <v>5.5</v>
      </c>
      <c r="D6" s="8" t="s">
        <v>521</v>
      </c>
      <c r="E6" s="8" t="s">
        <v>625</v>
      </c>
      <c r="F6" s="8" t="s">
        <v>628</v>
      </c>
      <c r="G6" s="9">
        <v>14000000</v>
      </c>
      <c r="H6" s="10">
        <v>16000000</v>
      </c>
      <c r="I6" s="19">
        <v>25900000</v>
      </c>
      <c r="J6" s="12">
        <v>10343700</v>
      </c>
      <c r="K6" s="8"/>
    </row>
    <row r="7" spans="1:11" ht="18" customHeight="1" x14ac:dyDescent="0.25">
      <c r="A7" s="14">
        <v>6</v>
      </c>
      <c r="B7" s="14" t="s">
        <v>629</v>
      </c>
      <c r="C7" s="14">
        <v>1.5</v>
      </c>
      <c r="D7" s="14" t="s">
        <v>537</v>
      </c>
      <c r="E7" s="14" t="s">
        <v>630</v>
      </c>
      <c r="F7" s="14" t="s">
        <v>631</v>
      </c>
      <c r="G7" s="9">
        <v>7200000</v>
      </c>
      <c r="H7" s="10">
        <v>8200000</v>
      </c>
      <c r="I7" s="19">
        <v>13300000</v>
      </c>
      <c r="J7" s="15">
        <v>5321700</v>
      </c>
      <c r="K7" s="14"/>
    </row>
    <row r="8" spans="1:11" ht="18" customHeight="1" x14ac:dyDescent="0.25">
      <c r="A8" s="8">
        <v>8</v>
      </c>
      <c r="B8" s="8" t="s">
        <v>632</v>
      </c>
      <c r="C8" s="8">
        <v>2.2000000000000002</v>
      </c>
      <c r="D8" s="8" t="s">
        <v>537</v>
      </c>
      <c r="E8" s="8" t="s">
        <v>630</v>
      </c>
      <c r="F8" s="8" t="s">
        <v>633</v>
      </c>
      <c r="G8" s="9">
        <v>8400000</v>
      </c>
      <c r="H8" s="10">
        <v>9600000</v>
      </c>
      <c r="I8" s="19">
        <v>15500000</v>
      </c>
      <c r="J8" s="12">
        <v>6204600</v>
      </c>
      <c r="K8" s="20">
        <v>5800000</v>
      </c>
    </row>
    <row r="9" spans="1:11" ht="18" customHeight="1" x14ac:dyDescent="0.25">
      <c r="A9" s="14">
        <v>9</v>
      </c>
      <c r="B9" s="14" t="s">
        <v>634</v>
      </c>
      <c r="C9" s="14">
        <v>3</v>
      </c>
      <c r="D9" s="14" t="s">
        <v>537</v>
      </c>
      <c r="E9" s="14" t="s">
        <v>630</v>
      </c>
      <c r="F9" s="14" t="s">
        <v>635</v>
      </c>
      <c r="G9" s="9">
        <v>9900000</v>
      </c>
      <c r="H9" s="10">
        <v>11400000</v>
      </c>
      <c r="I9" s="19">
        <v>18400000</v>
      </c>
      <c r="J9" s="15">
        <v>7346700</v>
      </c>
      <c r="K9" s="20">
        <v>6900000</v>
      </c>
    </row>
    <row r="10" spans="1:11" ht="18" customHeight="1" x14ac:dyDescent="0.25">
      <c r="A10" s="8">
        <v>10</v>
      </c>
      <c r="B10" s="8" t="s">
        <v>636</v>
      </c>
      <c r="C10" s="8">
        <v>4</v>
      </c>
      <c r="D10" s="8" t="s">
        <v>537</v>
      </c>
      <c r="E10" s="8" t="s">
        <v>630</v>
      </c>
      <c r="F10" s="8" t="s">
        <v>637</v>
      </c>
      <c r="G10" s="9">
        <v>11500000</v>
      </c>
      <c r="H10" s="10">
        <v>13200000</v>
      </c>
      <c r="I10" s="19">
        <v>21200000</v>
      </c>
      <c r="J10" s="12">
        <v>8496900</v>
      </c>
      <c r="K10" s="8"/>
    </row>
    <row r="11" spans="1:11" ht="18" customHeight="1" x14ac:dyDescent="0.25">
      <c r="A11" s="14">
        <v>11</v>
      </c>
      <c r="B11" s="14" t="s">
        <v>638</v>
      </c>
      <c r="C11" s="14">
        <v>5.5</v>
      </c>
      <c r="D11" s="14" t="s">
        <v>537</v>
      </c>
      <c r="E11" s="14" t="s">
        <v>630</v>
      </c>
      <c r="F11" s="14" t="s">
        <v>639</v>
      </c>
      <c r="G11" s="9">
        <v>14000000</v>
      </c>
      <c r="H11" s="10">
        <v>16000000</v>
      </c>
      <c r="I11" s="19">
        <v>25900000</v>
      </c>
      <c r="J11" s="15">
        <v>10343700</v>
      </c>
      <c r="K11" s="14"/>
    </row>
    <row r="12" spans="1:11" ht="18" customHeight="1" x14ac:dyDescent="0.25">
      <c r="A12" s="8">
        <v>12</v>
      </c>
      <c r="B12" s="8" t="s">
        <v>640</v>
      </c>
      <c r="C12" s="8">
        <v>7.5</v>
      </c>
      <c r="D12" s="8" t="s">
        <v>537</v>
      </c>
      <c r="E12" s="8" t="s">
        <v>630</v>
      </c>
      <c r="F12" s="8" t="s">
        <v>641</v>
      </c>
      <c r="G12" s="9">
        <v>15400000</v>
      </c>
      <c r="H12" s="10">
        <v>17700000</v>
      </c>
      <c r="I12" s="19">
        <v>28600000</v>
      </c>
      <c r="J12" s="12">
        <v>11421000</v>
      </c>
      <c r="K12" s="8"/>
    </row>
    <row r="13" spans="1:11" ht="18" customHeight="1" x14ac:dyDescent="0.25">
      <c r="A13" s="14">
        <v>13</v>
      </c>
      <c r="B13" s="14" t="s">
        <v>642</v>
      </c>
      <c r="C13" s="14">
        <v>11</v>
      </c>
      <c r="D13" s="14" t="s">
        <v>537</v>
      </c>
      <c r="E13" s="14" t="s">
        <v>630</v>
      </c>
      <c r="F13" s="14" t="s">
        <v>643</v>
      </c>
      <c r="G13" s="9">
        <v>20500000</v>
      </c>
      <c r="H13" s="10">
        <v>23500000</v>
      </c>
      <c r="I13" s="19">
        <v>37900000</v>
      </c>
      <c r="J13" s="15">
        <v>15163200</v>
      </c>
      <c r="K13" s="14"/>
    </row>
    <row r="14" spans="1:11" ht="18" customHeight="1" x14ac:dyDescent="0.25">
      <c r="A14" s="8">
        <v>14</v>
      </c>
      <c r="B14" s="8" t="s">
        <v>644</v>
      </c>
      <c r="C14" s="8">
        <v>4</v>
      </c>
      <c r="D14" s="8" t="s">
        <v>556</v>
      </c>
      <c r="E14" s="8" t="s">
        <v>645</v>
      </c>
      <c r="F14" s="8" t="s">
        <v>646</v>
      </c>
      <c r="G14" s="9">
        <v>11500000</v>
      </c>
      <c r="H14" s="10">
        <v>13200000</v>
      </c>
      <c r="I14" s="19">
        <v>21200000</v>
      </c>
      <c r="J14" s="12">
        <v>8496900</v>
      </c>
      <c r="K14" s="8"/>
    </row>
    <row r="15" spans="1:11" ht="18" customHeight="1" x14ac:dyDescent="0.25">
      <c r="A15" s="14">
        <v>15</v>
      </c>
      <c r="B15" s="14" t="s">
        <v>647</v>
      </c>
      <c r="C15" s="14">
        <v>5.5</v>
      </c>
      <c r="D15" s="14" t="s">
        <v>556</v>
      </c>
      <c r="E15" s="14" t="s">
        <v>645</v>
      </c>
      <c r="F15" s="14" t="s">
        <v>648</v>
      </c>
      <c r="G15" s="9">
        <v>14000000</v>
      </c>
      <c r="H15" s="10">
        <v>16000000</v>
      </c>
      <c r="I15" s="19">
        <v>25900000</v>
      </c>
      <c r="J15" s="15">
        <v>10343700</v>
      </c>
      <c r="K15" s="14"/>
    </row>
    <row r="16" spans="1:11" ht="18" customHeight="1" x14ac:dyDescent="0.25">
      <c r="A16" s="8">
        <v>17</v>
      </c>
      <c r="B16" s="8" t="s">
        <v>649</v>
      </c>
      <c r="C16" s="8">
        <v>7.5</v>
      </c>
      <c r="D16" s="8" t="s">
        <v>556</v>
      </c>
      <c r="E16" s="8" t="s">
        <v>645</v>
      </c>
      <c r="F16" s="8" t="s">
        <v>650</v>
      </c>
      <c r="G16" s="9">
        <v>15400000</v>
      </c>
      <c r="H16" s="10">
        <v>17700000</v>
      </c>
      <c r="I16" s="19">
        <v>28600000</v>
      </c>
      <c r="J16" s="12">
        <v>11421000</v>
      </c>
      <c r="K16" s="8"/>
    </row>
    <row r="17" spans="1:11" ht="18" customHeight="1" x14ac:dyDescent="0.25">
      <c r="A17" s="14">
        <v>18</v>
      </c>
      <c r="B17" s="14" t="s">
        <v>651</v>
      </c>
      <c r="C17" s="14">
        <v>11</v>
      </c>
      <c r="D17" s="14" t="s">
        <v>556</v>
      </c>
      <c r="E17" s="14" t="s">
        <v>652</v>
      </c>
      <c r="F17" s="14" t="s">
        <v>653</v>
      </c>
      <c r="G17" s="9">
        <v>20500000</v>
      </c>
      <c r="H17" s="10">
        <v>23500000</v>
      </c>
      <c r="I17" s="19">
        <v>37900000</v>
      </c>
      <c r="J17" s="15">
        <v>15163200</v>
      </c>
      <c r="K17" s="20">
        <v>14000000</v>
      </c>
    </row>
    <row r="18" spans="1:11" ht="18" customHeight="1" x14ac:dyDescent="0.25">
      <c r="A18" s="8">
        <v>19</v>
      </c>
      <c r="B18" s="8" t="s">
        <v>654</v>
      </c>
      <c r="C18" s="8">
        <v>15</v>
      </c>
      <c r="D18" s="8" t="s">
        <v>556</v>
      </c>
      <c r="E18" s="8" t="s">
        <v>652</v>
      </c>
      <c r="F18" s="8" t="s">
        <v>655</v>
      </c>
      <c r="G18" s="9">
        <v>22800000</v>
      </c>
      <c r="H18" s="10">
        <v>26200000</v>
      </c>
      <c r="I18" s="19">
        <v>42200000</v>
      </c>
      <c r="J18" s="12">
        <v>16880400</v>
      </c>
      <c r="K18" s="20">
        <v>15500000</v>
      </c>
    </row>
    <row r="19" spans="1:11" ht="18" customHeight="1" x14ac:dyDescent="0.25">
      <c r="A19" s="14">
        <v>20</v>
      </c>
      <c r="B19" s="14" t="s">
        <v>656</v>
      </c>
      <c r="C19" s="14">
        <v>5.5</v>
      </c>
      <c r="D19" s="14" t="s">
        <v>575</v>
      </c>
      <c r="E19" s="14" t="s">
        <v>657</v>
      </c>
      <c r="F19" s="14" t="s">
        <v>658</v>
      </c>
      <c r="G19" s="9">
        <v>14700000</v>
      </c>
      <c r="H19" s="10">
        <v>16800000</v>
      </c>
      <c r="I19" s="19">
        <v>27200000</v>
      </c>
      <c r="J19" s="15">
        <v>10870200</v>
      </c>
      <c r="K19" s="14"/>
    </row>
    <row r="20" spans="1:11" ht="18" customHeight="1" x14ac:dyDescent="0.25">
      <c r="A20" s="8">
        <v>21</v>
      </c>
      <c r="B20" s="8" t="s">
        <v>659</v>
      </c>
      <c r="C20" s="8">
        <v>7.5</v>
      </c>
      <c r="D20" s="8" t="s">
        <v>575</v>
      </c>
      <c r="E20" s="8" t="s">
        <v>660</v>
      </c>
      <c r="F20" s="8" t="s">
        <v>661</v>
      </c>
      <c r="G20" s="9">
        <v>15600000</v>
      </c>
      <c r="H20" s="10">
        <v>17900000</v>
      </c>
      <c r="I20" s="19">
        <v>28900000</v>
      </c>
      <c r="J20" s="12">
        <v>11558700</v>
      </c>
      <c r="K20" s="8"/>
    </row>
    <row r="21" spans="1:11" ht="18" customHeight="1" x14ac:dyDescent="0.25">
      <c r="A21" s="14">
        <v>22</v>
      </c>
      <c r="B21" s="14" t="s">
        <v>662</v>
      </c>
      <c r="C21" s="14">
        <v>11</v>
      </c>
      <c r="D21" s="14" t="s">
        <v>575</v>
      </c>
      <c r="E21" s="14" t="s">
        <v>663</v>
      </c>
      <c r="F21" s="14" t="s">
        <v>664</v>
      </c>
      <c r="G21" s="9">
        <v>20200000</v>
      </c>
      <c r="H21" s="10">
        <v>23200000</v>
      </c>
      <c r="I21" s="19">
        <v>37400000</v>
      </c>
      <c r="J21" s="15">
        <v>14968800</v>
      </c>
      <c r="K21" s="20">
        <v>14000000</v>
      </c>
    </row>
    <row r="22" spans="1:11" ht="18" customHeight="1" x14ac:dyDescent="0.25">
      <c r="A22" s="8">
        <v>24</v>
      </c>
      <c r="B22" s="8" t="s">
        <v>665</v>
      </c>
      <c r="C22" s="8">
        <v>15</v>
      </c>
      <c r="D22" s="8" t="s">
        <v>575</v>
      </c>
      <c r="E22" s="8" t="s">
        <v>663</v>
      </c>
      <c r="F22" s="8" t="s">
        <v>666</v>
      </c>
      <c r="G22" s="9">
        <v>23700000</v>
      </c>
      <c r="H22" s="10">
        <v>27200000</v>
      </c>
      <c r="I22" s="19">
        <v>43900000</v>
      </c>
      <c r="J22" s="12">
        <v>17568900</v>
      </c>
      <c r="K22" s="20">
        <v>15500000</v>
      </c>
    </row>
    <row r="23" spans="1:11" ht="18" customHeight="1" x14ac:dyDescent="0.25">
      <c r="A23" s="14">
        <v>25</v>
      </c>
      <c r="B23" s="14" t="s">
        <v>667</v>
      </c>
      <c r="C23" s="14">
        <v>18.5</v>
      </c>
      <c r="D23" s="14" t="s">
        <v>575</v>
      </c>
      <c r="E23" s="14" t="s">
        <v>663</v>
      </c>
      <c r="F23" s="14" t="s">
        <v>668</v>
      </c>
      <c r="G23" s="9">
        <v>28700000</v>
      </c>
      <c r="H23" s="10">
        <v>32900000</v>
      </c>
      <c r="I23" s="19">
        <v>53100000</v>
      </c>
      <c r="J23" s="15">
        <v>21230100</v>
      </c>
      <c r="K23" s="14"/>
    </row>
    <row r="24" spans="1:11" ht="18" customHeight="1" x14ac:dyDescent="0.25">
      <c r="A24" s="8">
        <v>26</v>
      </c>
      <c r="B24" s="8" t="s">
        <v>669</v>
      </c>
      <c r="C24" s="8">
        <v>22</v>
      </c>
      <c r="D24" s="8" t="s">
        <v>575</v>
      </c>
      <c r="E24" s="8" t="s">
        <v>663</v>
      </c>
      <c r="F24" s="8" t="s">
        <v>670</v>
      </c>
      <c r="G24" s="9">
        <v>31900000</v>
      </c>
      <c r="H24" s="10">
        <v>36600000</v>
      </c>
      <c r="I24" s="19">
        <v>59000000</v>
      </c>
      <c r="J24" s="12">
        <v>23611500</v>
      </c>
      <c r="K24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zoomScaleNormal="100" workbookViewId="0">
      <pane ySplit="1" topLeftCell="A2" activePane="bottomLeft" state="frozen"/>
      <selection pane="bottomLeft" activeCell="B9" sqref="B9"/>
    </sheetView>
  </sheetViews>
  <sheetFormatPr defaultColWidth="8.7109375" defaultRowHeight="15" x14ac:dyDescent="0.25"/>
  <cols>
    <col min="1" max="1" width="5" style="1" customWidth="1"/>
    <col min="2" max="2" width="26.5703125" style="1" customWidth="1"/>
    <col min="3" max="4" width="12" style="1" customWidth="1"/>
    <col min="5" max="10" width="13" style="1" customWidth="1"/>
    <col min="11" max="12" width="14" style="1" customWidth="1"/>
  </cols>
  <sheetData>
    <row r="1" spans="1:12" ht="30" customHeight="1" x14ac:dyDescent="0.25">
      <c r="A1" s="2" t="s">
        <v>0</v>
      </c>
      <c r="B1" s="2" t="s">
        <v>1</v>
      </c>
      <c r="C1" s="2" t="s">
        <v>337</v>
      </c>
      <c r="D1" s="2" t="s">
        <v>338</v>
      </c>
      <c r="E1" s="2" t="s">
        <v>193</v>
      </c>
      <c r="F1" s="2" t="s">
        <v>194</v>
      </c>
      <c r="G1" s="3" t="s">
        <v>6</v>
      </c>
      <c r="H1" s="4" t="s">
        <v>7</v>
      </c>
      <c r="I1" s="5" t="s">
        <v>8</v>
      </c>
      <c r="J1" s="6" t="s">
        <v>301</v>
      </c>
      <c r="K1" s="6" t="s">
        <v>196</v>
      </c>
      <c r="L1" s="6" t="s">
        <v>519</v>
      </c>
    </row>
    <row r="2" spans="1:12" ht="18" customHeight="1" x14ac:dyDescent="0.25">
      <c r="A2" s="8">
        <v>1</v>
      </c>
      <c r="B2" s="8" t="s">
        <v>671</v>
      </c>
      <c r="C2" s="8">
        <v>0.75</v>
      </c>
      <c r="D2" s="8" t="s">
        <v>672</v>
      </c>
      <c r="E2" s="8">
        <v>9</v>
      </c>
      <c r="F2" s="8">
        <v>28</v>
      </c>
      <c r="G2" s="9">
        <v>2600000</v>
      </c>
      <c r="H2" s="10">
        <v>3000000</v>
      </c>
      <c r="I2" s="23">
        <f t="shared" ref="I2:I10" si="0">H2*2</f>
        <v>6000000</v>
      </c>
      <c r="J2" s="12">
        <v>2050000</v>
      </c>
      <c r="K2" s="8"/>
      <c r="L2" s="8"/>
    </row>
    <row r="3" spans="1:12" ht="18" customHeight="1" x14ac:dyDescent="0.25">
      <c r="A3" s="14">
        <v>2</v>
      </c>
      <c r="B3" s="14" t="s">
        <v>673</v>
      </c>
      <c r="C3" s="14">
        <v>0.75</v>
      </c>
      <c r="D3" s="14" t="s">
        <v>674</v>
      </c>
      <c r="E3" s="14">
        <v>9</v>
      </c>
      <c r="F3" s="14">
        <v>24</v>
      </c>
      <c r="G3" s="9">
        <v>2600000</v>
      </c>
      <c r="H3" s="10">
        <v>3000000</v>
      </c>
      <c r="I3" s="23">
        <f t="shared" si="0"/>
        <v>6000000</v>
      </c>
      <c r="J3" s="15">
        <v>2050000</v>
      </c>
      <c r="K3" s="14"/>
      <c r="L3" s="14"/>
    </row>
    <row r="4" spans="1:12" ht="18" customHeight="1" x14ac:dyDescent="0.25">
      <c r="A4" s="8">
        <v>3</v>
      </c>
      <c r="B4" s="8" t="s">
        <v>675</v>
      </c>
      <c r="C4" s="8">
        <v>1.1000000000000001</v>
      </c>
      <c r="D4" s="8" t="s">
        <v>674</v>
      </c>
      <c r="E4" s="8">
        <v>10.8</v>
      </c>
      <c r="F4" s="8">
        <v>24</v>
      </c>
      <c r="G4" s="9">
        <v>3300000</v>
      </c>
      <c r="H4" s="10">
        <v>3800000</v>
      </c>
      <c r="I4" s="23">
        <f t="shared" si="0"/>
        <v>7600000</v>
      </c>
      <c r="J4" s="12">
        <v>2600000</v>
      </c>
      <c r="K4" s="8"/>
      <c r="L4" s="8"/>
    </row>
    <row r="5" spans="1:12" ht="18" customHeight="1" x14ac:dyDescent="0.25">
      <c r="A5" s="14">
        <v>4</v>
      </c>
      <c r="B5" s="14" t="s">
        <v>676</v>
      </c>
      <c r="C5" s="14">
        <v>1.1000000000000001</v>
      </c>
      <c r="D5" s="14" t="s">
        <v>674</v>
      </c>
      <c r="E5" s="14">
        <v>10.8</v>
      </c>
      <c r="F5" s="14">
        <v>28</v>
      </c>
      <c r="G5" s="9">
        <v>3300000</v>
      </c>
      <c r="H5" s="10">
        <v>3800000</v>
      </c>
      <c r="I5" s="23">
        <f t="shared" si="0"/>
        <v>7600000</v>
      </c>
      <c r="J5" s="15">
        <v>2600000</v>
      </c>
      <c r="K5" s="14"/>
      <c r="L5" s="14"/>
    </row>
    <row r="6" spans="1:12" ht="18" customHeight="1" x14ac:dyDescent="0.25">
      <c r="A6" s="8">
        <v>5</v>
      </c>
      <c r="B6" s="8" t="s">
        <v>677</v>
      </c>
      <c r="C6" s="8">
        <v>1.5</v>
      </c>
      <c r="D6" s="8" t="s">
        <v>674</v>
      </c>
      <c r="E6" s="8">
        <v>11</v>
      </c>
      <c r="F6" s="8">
        <v>32</v>
      </c>
      <c r="G6" s="9">
        <v>4000000</v>
      </c>
      <c r="H6" s="10">
        <v>4600000</v>
      </c>
      <c r="I6" s="23">
        <f t="shared" si="0"/>
        <v>9200000</v>
      </c>
      <c r="J6" s="12">
        <v>3200000</v>
      </c>
      <c r="K6" s="8"/>
      <c r="L6" s="8"/>
    </row>
    <row r="7" spans="1:12" ht="18" customHeight="1" x14ac:dyDescent="0.25">
      <c r="A7" s="14">
        <v>6</v>
      </c>
      <c r="B7" s="14" t="s">
        <v>678</v>
      </c>
      <c r="C7" s="14">
        <v>1.5</v>
      </c>
      <c r="D7" s="14" t="s">
        <v>674</v>
      </c>
      <c r="E7" s="14">
        <v>11</v>
      </c>
      <c r="F7" s="14">
        <v>32</v>
      </c>
      <c r="G7" s="9">
        <v>4000000</v>
      </c>
      <c r="H7" s="10">
        <v>4600000</v>
      </c>
      <c r="I7" s="23">
        <f t="shared" si="0"/>
        <v>9200000</v>
      </c>
      <c r="J7" s="15">
        <v>3200000</v>
      </c>
      <c r="K7" s="14"/>
      <c r="L7" s="14"/>
    </row>
    <row r="8" spans="1:12" ht="18" customHeight="1" x14ac:dyDescent="0.25">
      <c r="A8" s="8">
        <v>8</v>
      </c>
      <c r="B8" s="8" t="s">
        <v>679</v>
      </c>
      <c r="C8" s="8">
        <v>1.1000000000000001</v>
      </c>
      <c r="D8" s="8" t="s">
        <v>672</v>
      </c>
      <c r="E8" s="8">
        <v>11</v>
      </c>
      <c r="F8" s="8">
        <v>43</v>
      </c>
      <c r="G8" s="9">
        <v>4600000</v>
      </c>
      <c r="H8" s="10">
        <v>5400000</v>
      </c>
      <c r="I8" s="23">
        <f t="shared" si="0"/>
        <v>10800000</v>
      </c>
      <c r="J8" s="12">
        <v>3700000</v>
      </c>
      <c r="K8" s="8"/>
      <c r="L8" s="8"/>
    </row>
    <row r="9" spans="1:12" ht="18" customHeight="1" x14ac:dyDescent="0.25">
      <c r="A9" s="14">
        <v>9</v>
      </c>
      <c r="B9" s="14" t="s">
        <v>680</v>
      </c>
      <c r="C9" s="14">
        <v>1.5</v>
      </c>
      <c r="D9" s="14" t="s">
        <v>672</v>
      </c>
      <c r="E9" s="14">
        <v>13</v>
      </c>
      <c r="F9" s="14">
        <v>54</v>
      </c>
      <c r="G9" s="9">
        <v>4900000</v>
      </c>
      <c r="H9" s="10">
        <v>5700000</v>
      </c>
      <c r="I9" s="23">
        <f t="shared" si="0"/>
        <v>11400000</v>
      </c>
      <c r="J9" s="15">
        <v>3900000</v>
      </c>
      <c r="K9" s="14"/>
      <c r="L9" s="14"/>
    </row>
    <row r="10" spans="1:12" ht="18" customHeight="1" x14ac:dyDescent="0.25">
      <c r="A10" s="8">
        <v>10</v>
      </c>
      <c r="B10" s="8" t="s">
        <v>681</v>
      </c>
      <c r="C10" s="8">
        <v>2.2000000000000002</v>
      </c>
      <c r="D10" s="8" t="s">
        <v>672</v>
      </c>
      <c r="E10" s="8">
        <v>15</v>
      </c>
      <c r="F10" s="8">
        <v>55</v>
      </c>
      <c r="G10" s="9">
        <v>5900000</v>
      </c>
      <c r="H10" s="10">
        <v>6800000</v>
      </c>
      <c r="I10" s="23">
        <f t="shared" si="0"/>
        <v>13600000</v>
      </c>
      <c r="J10" s="12">
        <v>4700000</v>
      </c>
      <c r="K10" s="8"/>
      <c r="L10" s="8"/>
    </row>
    <row r="11" spans="1:12" ht="18" customHeight="1" x14ac:dyDescent="0.25">
      <c r="A11" s="14">
        <v>11</v>
      </c>
      <c r="B11" s="14" t="s">
        <v>682</v>
      </c>
      <c r="C11" s="14">
        <v>0.37</v>
      </c>
      <c r="D11" s="14" t="s">
        <v>672</v>
      </c>
      <c r="E11" s="14">
        <v>6</v>
      </c>
      <c r="F11" s="14">
        <v>12</v>
      </c>
      <c r="G11" s="9">
        <v>1900000</v>
      </c>
      <c r="H11" s="10">
        <v>2200000</v>
      </c>
      <c r="I11" s="23">
        <f t="shared" ref="I11:I21" si="1">H11*2.1</f>
        <v>4620000</v>
      </c>
      <c r="J11" s="15">
        <v>1500000</v>
      </c>
      <c r="K11" s="20">
        <v>1480000</v>
      </c>
      <c r="L11" s="14"/>
    </row>
    <row r="12" spans="1:12" ht="18" customHeight="1" x14ac:dyDescent="0.25">
      <c r="A12" s="8">
        <v>12</v>
      </c>
      <c r="B12" s="8" t="s">
        <v>683</v>
      </c>
      <c r="C12" s="8">
        <v>0.75</v>
      </c>
      <c r="D12" s="8" t="s">
        <v>684</v>
      </c>
      <c r="E12" s="8">
        <v>18</v>
      </c>
      <c r="F12" s="8">
        <v>12</v>
      </c>
      <c r="G12" s="9">
        <v>2800000</v>
      </c>
      <c r="H12" s="10">
        <v>3200000</v>
      </c>
      <c r="I12" s="23">
        <f t="shared" si="1"/>
        <v>6720000</v>
      </c>
      <c r="J12" s="12">
        <v>2200000</v>
      </c>
      <c r="K12" s="8"/>
      <c r="L12" s="8"/>
    </row>
    <row r="13" spans="1:12" ht="18" customHeight="1" x14ac:dyDescent="0.25">
      <c r="A13" s="14">
        <v>13</v>
      </c>
      <c r="B13" s="14" t="s">
        <v>685</v>
      </c>
      <c r="C13" s="14">
        <v>1.1000000000000001</v>
      </c>
      <c r="D13" s="14" t="s">
        <v>686</v>
      </c>
      <c r="E13" s="14">
        <v>33</v>
      </c>
      <c r="F13" s="14">
        <v>15</v>
      </c>
      <c r="G13" s="9">
        <v>3900000</v>
      </c>
      <c r="H13" s="10">
        <v>4500000</v>
      </c>
      <c r="I13" s="23">
        <f t="shared" si="1"/>
        <v>9450000</v>
      </c>
      <c r="J13" s="15">
        <v>3100000</v>
      </c>
      <c r="K13" s="15">
        <v>3180000</v>
      </c>
      <c r="L13" s="20">
        <v>2916000</v>
      </c>
    </row>
    <row r="14" spans="1:12" ht="18" customHeight="1" x14ac:dyDescent="0.25">
      <c r="A14" s="8">
        <v>14</v>
      </c>
      <c r="B14" s="8" t="s">
        <v>687</v>
      </c>
      <c r="C14" s="8">
        <v>1.5</v>
      </c>
      <c r="D14" s="8" t="s">
        <v>686</v>
      </c>
      <c r="E14" s="8">
        <v>42</v>
      </c>
      <c r="F14" s="8">
        <v>18</v>
      </c>
      <c r="G14" s="9">
        <v>4100000</v>
      </c>
      <c r="H14" s="10">
        <v>4800000</v>
      </c>
      <c r="I14" s="23">
        <f t="shared" si="1"/>
        <v>10080000</v>
      </c>
      <c r="J14" s="12">
        <v>3300000</v>
      </c>
      <c r="K14" s="12">
        <v>3450000</v>
      </c>
      <c r="L14" s="20">
        <v>3078000</v>
      </c>
    </row>
    <row r="15" spans="1:12" ht="18" customHeight="1" x14ac:dyDescent="0.25">
      <c r="A15" s="14">
        <v>15</v>
      </c>
      <c r="B15" s="14" t="s">
        <v>688</v>
      </c>
      <c r="C15" s="14">
        <v>2.2000000000000002</v>
      </c>
      <c r="D15" s="14" t="s">
        <v>689</v>
      </c>
      <c r="E15" s="14">
        <v>57</v>
      </c>
      <c r="F15" s="14">
        <v>21</v>
      </c>
      <c r="G15" s="9">
        <v>4800000</v>
      </c>
      <c r="H15" s="10">
        <v>5500000</v>
      </c>
      <c r="I15" s="23">
        <f t="shared" si="1"/>
        <v>11550000</v>
      </c>
      <c r="J15" s="15">
        <v>3800000</v>
      </c>
      <c r="K15" s="14"/>
      <c r="L15" s="20">
        <v>3612600</v>
      </c>
    </row>
    <row r="16" spans="1:12" ht="18" customHeight="1" x14ac:dyDescent="0.25">
      <c r="A16" s="8">
        <v>17</v>
      </c>
      <c r="B16" s="8" t="s">
        <v>690</v>
      </c>
      <c r="C16" s="8">
        <v>0.37</v>
      </c>
      <c r="D16" s="8" t="s">
        <v>672</v>
      </c>
      <c r="E16" s="8">
        <v>6</v>
      </c>
      <c r="F16" s="8">
        <v>12</v>
      </c>
      <c r="G16" s="9">
        <v>1900000</v>
      </c>
      <c r="H16" s="10">
        <v>2200000</v>
      </c>
      <c r="I16" s="23">
        <f t="shared" si="1"/>
        <v>4620000</v>
      </c>
      <c r="J16" s="12">
        <v>1500000</v>
      </c>
      <c r="K16" s="20">
        <v>1450000</v>
      </c>
      <c r="L16" s="8"/>
    </row>
    <row r="17" spans="1:12" ht="18" customHeight="1" x14ac:dyDescent="0.25">
      <c r="A17" s="14">
        <v>18</v>
      </c>
      <c r="B17" s="14" t="s">
        <v>691</v>
      </c>
      <c r="C17" s="14">
        <v>0.75</v>
      </c>
      <c r="D17" s="14" t="s">
        <v>684</v>
      </c>
      <c r="E17" s="14">
        <v>18</v>
      </c>
      <c r="F17" s="14">
        <v>12</v>
      </c>
      <c r="G17" s="9">
        <v>2800000</v>
      </c>
      <c r="H17" s="10">
        <v>3200000</v>
      </c>
      <c r="I17" s="23">
        <f t="shared" si="1"/>
        <v>6720000</v>
      </c>
      <c r="J17" s="15">
        <v>2200000</v>
      </c>
      <c r="K17" s="14"/>
      <c r="L17" s="14"/>
    </row>
    <row r="18" spans="1:12" ht="18" customHeight="1" x14ac:dyDescent="0.25">
      <c r="A18" s="8">
        <v>19</v>
      </c>
      <c r="B18" s="8" t="s">
        <v>692</v>
      </c>
      <c r="C18" s="8">
        <v>1.1000000000000001</v>
      </c>
      <c r="D18" s="8" t="s">
        <v>686</v>
      </c>
      <c r="E18" s="8">
        <v>15</v>
      </c>
      <c r="F18" s="8">
        <v>33</v>
      </c>
      <c r="G18" s="9">
        <v>3900000</v>
      </c>
      <c r="H18" s="10">
        <v>4500000</v>
      </c>
      <c r="I18" s="23">
        <f t="shared" si="1"/>
        <v>9450000</v>
      </c>
      <c r="J18" s="12">
        <v>3100000</v>
      </c>
      <c r="K18" s="12">
        <v>2960000</v>
      </c>
      <c r="L18" s="20">
        <v>2916000</v>
      </c>
    </row>
    <row r="19" spans="1:12" ht="18" customHeight="1" x14ac:dyDescent="0.25">
      <c r="A19" s="14">
        <v>20</v>
      </c>
      <c r="B19" s="14" t="s">
        <v>693</v>
      </c>
      <c r="C19" s="14">
        <v>1.5</v>
      </c>
      <c r="D19" s="14" t="s">
        <v>686</v>
      </c>
      <c r="E19" s="14">
        <v>42</v>
      </c>
      <c r="F19" s="14">
        <v>18</v>
      </c>
      <c r="G19" s="9">
        <v>4100000</v>
      </c>
      <c r="H19" s="10">
        <v>4800000</v>
      </c>
      <c r="I19" s="23">
        <f t="shared" si="1"/>
        <v>10080000</v>
      </c>
      <c r="J19" s="15">
        <v>3300000</v>
      </c>
      <c r="K19" s="15">
        <v>3180000</v>
      </c>
      <c r="L19" s="20">
        <v>3078000</v>
      </c>
    </row>
    <row r="20" spans="1:12" ht="18" customHeight="1" x14ac:dyDescent="0.25">
      <c r="A20" s="8">
        <v>21</v>
      </c>
      <c r="B20" s="8" t="s">
        <v>694</v>
      </c>
      <c r="C20" s="8">
        <v>2.2000000000000002</v>
      </c>
      <c r="D20" s="8" t="s">
        <v>689</v>
      </c>
      <c r="E20" s="8">
        <v>57</v>
      </c>
      <c r="F20" s="8">
        <v>21</v>
      </c>
      <c r="G20" s="9">
        <v>4400000</v>
      </c>
      <c r="H20" s="10">
        <v>5100000</v>
      </c>
      <c r="I20" s="23">
        <f t="shared" si="1"/>
        <v>10710000</v>
      </c>
      <c r="J20" s="20">
        <v>3500000</v>
      </c>
      <c r="K20" s="8"/>
      <c r="L20" s="12">
        <v>3612600</v>
      </c>
    </row>
    <row r="21" spans="1:12" ht="18" customHeight="1" x14ac:dyDescent="0.25">
      <c r="A21" s="14">
        <v>22</v>
      </c>
      <c r="B21" s="14" t="s">
        <v>695</v>
      </c>
      <c r="C21" s="14">
        <v>3</v>
      </c>
      <c r="D21" s="14" t="s">
        <v>689</v>
      </c>
      <c r="E21" s="14">
        <v>60</v>
      </c>
      <c r="F21" s="14">
        <v>24</v>
      </c>
      <c r="G21" s="9">
        <v>5000000</v>
      </c>
      <c r="H21" s="10">
        <v>5800000</v>
      </c>
      <c r="I21" s="23">
        <f t="shared" si="1"/>
        <v>12180000</v>
      </c>
      <c r="J21" s="15">
        <v>4000000</v>
      </c>
      <c r="K21" s="14"/>
      <c r="L21" s="1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zoomScaleNormal="100" workbookViewId="0">
      <pane ySplit="1" topLeftCell="A2" activePane="bottomLeft" state="frozen"/>
      <selection pane="bottomLeft" activeCell="I30" sqref="I30"/>
    </sheetView>
  </sheetViews>
  <sheetFormatPr defaultColWidth="8.7109375" defaultRowHeight="15" x14ac:dyDescent="0.25"/>
  <cols>
    <col min="1" max="1" width="5" style="1" customWidth="1"/>
    <col min="2" max="2" width="24" style="1" customWidth="1"/>
    <col min="3" max="4" width="12" style="1" customWidth="1"/>
    <col min="5" max="7" width="13" style="1" customWidth="1"/>
    <col min="8" max="8" width="13" style="24" customWidth="1"/>
    <col min="9" max="9" width="13" style="1" customWidth="1"/>
    <col min="10" max="11" width="14" style="1" customWidth="1"/>
  </cols>
  <sheetData>
    <row r="1" spans="1:11" ht="30" customHeight="1" x14ac:dyDescent="0.25">
      <c r="A1" s="2" t="s">
        <v>0</v>
      </c>
      <c r="B1" s="2" t="s">
        <v>1</v>
      </c>
      <c r="C1" s="2" t="s">
        <v>337</v>
      </c>
      <c r="D1" s="2" t="s">
        <v>338</v>
      </c>
      <c r="E1" s="2" t="s">
        <v>104</v>
      </c>
      <c r="F1" s="2" t="s">
        <v>105</v>
      </c>
      <c r="G1" s="3" t="s">
        <v>6</v>
      </c>
      <c r="H1" s="4" t="s">
        <v>7</v>
      </c>
      <c r="I1" s="27" t="s">
        <v>8</v>
      </c>
      <c r="J1" s="6" t="s">
        <v>301</v>
      </c>
      <c r="K1" s="6" t="s">
        <v>196</v>
      </c>
    </row>
    <row r="2" spans="1:11" ht="18" customHeight="1" x14ac:dyDescent="0.25">
      <c r="A2" s="8">
        <v>1</v>
      </c>
      <c r="B2" s="8" t="s">
        <v>696</v>
      </c>
      <c r="C2" s="8">
        <v>1.5</v>
      </c>
      <c r="D2" s="8">
        <v>50</v>
      </c>
      <c r="E2" s="8">
        <v>27</v>
      </c>
      <c r="F2" s="8">
        <v>22</v>
      </c>
      <c r="G2" s="9">
        <v>8500000</v>
      </c>
      <c r="H2" s="10">
        <v>9900000</v>
      </c>
      <c r="I2" s="23">
        <f t="shared" ref="I2:I17" si="0">G2*1.4</f>
        <v>11900000</v>
      </c>
      <c r="J2" s="12">
        <v>6800000</v>
      </c>
      <c r="K2" s="20">
        <v>6296296</v>
      </c>
    </row>
    <row r="3" spans="1:11" ht="18" customHeight="1" x14ac:dyDescent="0.25">
      <c r="A3" s="14">
        <v>2</v>
      </c>
      <c r="B3" s="14" t="s">
        <v>697</v>
      </c>
      <c r="C3" s="14">
        <v>2.2000000000000002</v>
      </c>
      <c r="D3" s="14">
        <v>50</v>
      </c>
      <c r="E3" s="14">
        <v>33</v>
      </c>
      <c r="F3" s="14">
        <v>26</v>
      </c>
      <c r="G3" s="9">
        <v>9400000</v>
      </c>
      <c r="H3" s="10">
        <v>10900000</v>
      </c>
      <c r="I3" s="23">
        <f t="shared" si="0"/>
        <v>13160000</v>
      </c>
      <c r="J3" s="15">
        <v>7500000</v>
      </c>
      <c r="K3" s="20">
        <v>6944444</v>
      </c>
    </row>
    <row r="4" spans="1:11" ht="18" customHeight="1" x14ac:dyDescent="0.25">
      <c r="A4" s="8">
        <v>3</v>
      </c>
      <c r="B4" s="8" t="s">
        <v>698</v>
      </c>
      <c r="C4" s="8">
        <v>2.2000000000000002</v>
      </c>
      <c r="D4" s="8">
        <v>80</v>
      </c>
      <c r="E4" s="8">
        <v>55</v>
      </c>
      <c r="F4" s="8">
        <v>19</v>
      </c>
      <c r="G4" s="9">
        <v>9400000</v>
      </c>
      <c r="H4" s="10">
        <v>10900000</v>
      </c>
      <c r="I4" s="23">
        <f t="shared" si="0"/>
        <v>13160000</v>
      </c>
      <c r="J4" s="12">
        <v>7500000</v>
      </c>
      <c r="K4" s="20">
        <v>6944444</v>
      </c>
    </row>
    <row r="5" spans="1:11" ht="18" customHeight="1" x14ac:dyDescent="0.25">
      <c r="A5" s="14">
        <v>4</v>
      </c>
      <c r="B5" s="14" t="s">
        <v>699</v>
      </c>
      <c r="C5" s="14">
        <v>3.7</v>
      </c>
      <c r="D5" s="14">
        <v>80</v>
      </c>
      <c r="E5" s="14">
        <v>55</v>
      </c>
      <c r="F5" s="14">
        <v>29</v>
      </c>
      <c r="G5" s="9">
        <v>15000000</v>
      </c>
      <c r="H5" s="10">
        <v>17400000</v>
      </c>
      <c r="I5" s="23">
        <f t="shared" si="0"/>
        <v>21000000</v>
      </c>
      <c r="J5" s="15">
        <v>12000000</v>
      </c>
      <c r="K5" s="20">
        <v>11111111</v>
      </c>
    </row>
    <row r="6" spans="1:11" ht="18" customHeight="1" x14ac:dyDescent="0.25">
      <c r="A6" s="8">
        <v>5</v>
      </c>
      <c r="B6" s="8" t="s">
        <v>700</v>
      </c>
      <c r="C6" s="8">
        <v>5.5</v>
      </c>
      <c r="D6" s="8">
        <v>80</v>
      </c>
      <c r="E6" s="8">
        <v>75</v>
      </c>
      <c r="F6" s="8">
        <v>34</v>
      </c>
      <c r="G6" s="9">
        <v>19000000</v>
      </c>
      <c r="H6" s="10">
        <v>22000000</v>
      </c>
      <c r="I6" s="23">
        <f t="shared" si="0"/>
        <v>26600000</v>
      </c>
      <c r="J6" s="12">
        <v>15200000</v>
      </c>
      <c r="K6" s="20">
        <v>14074074</v>
      </c>
    </row>
    <row r="7" spans="1:11" ht="18" customHeight="1" x14ac:dyDescent="0.25">
      <c r="A7" s="14">
        <v>6</v>
      </c>
      <c r="B7" s="14" t="s">
        <v>701</v>
      </c>
      <c r="C7" s="14">
        <v>5.5</v>
      </c>
      <c r="D7" s="14">
        <v>100</v>
      </c>
      <c r="E7" s="14">
        <v>105</v>
      </c>
      <c r="F7" s="14">
        <v>23</v>
      </c>
      <c r="G7" s="9">
        <v>19000000</v>
      </c>
      <c r="H7" s="10">
        <v>22000000</v>
      </c>
      <c r="I7" s="23">
        <f t="shared" si="0"/>
        <v>26600000</v>
      </c>
      <c r="J7" s="15">
        <v>15200000</v>
      </c>
      <c r="K7" s="20">
        <v>14074074</v>
      </c>
    </row>
    <row r="8" spans="1:11" ht="18" customHeight="1" x14ac:dyDescent="0.25">
      <c r="A8" s="8">
        <v>8</v>
      </c>
      <c r="B8" s="8" t="s">
        <v>702</v>
      </c>
      <c r="C8" s="8">
        <v>7.5</v>
      </c>
      <c r="D8" s="8">
        <v>100</v>
      </c>
      <c r="E8" s="8">
        <v>84</v>
      </c>
      <c r="F8" s="8">
        <v>40</v>
      </c>
      <c r="G8" s="9">
        <v>24800000</v>
      </c>
      <c r="H8" s="10">
        <v>28700000</v>
      </c>
      <c r="I8" s="23">
        <f t="shared" si="0"/>
        <v>34720000</v>
      </c>
      <c r="J8" s="12">
        <v>19800000</v>
      </c>
      <c r="K8" s="20">
        <v>18333333</v>
      </c>
    </row>
    <row r="9" spans="1:11" ht="18" customHeight="1" x14ac:dyDescent="0.25">
      <c r="A9" s="14">
        <v>9</v>
      </c>
      <c r="B9" s="14" t="s">
        <v>703</v>
      </c>
      <c r="C9" s="14">
        <v>7.5</v>
      </c>
      <c r="D9" s="14">
        <v>150</v>
      </c>
      <c r="E9" s="14">
        <v>124.8</v>
      </c>
      <c r="F9" s="14">
        <v>31</v>
      </c>
      <c r="G9" s="9">
        <v>24800000</v>
      </c>
      <c r="H9" s="10">
        <v>28700000</v>
      </c>
      <c r="I9" s="23">
        <f t="shared" si="0"/>
        <v>34720000</v>
      </c>
      <c r="J9" s="15">
        <v>19800000</v>
      </c>
      <c r="K9" s="20">
        <v>18333333</v>
      </c>
    </row>
    <row r="10" spans="1:11" ht="18" customHeight="1" x14ac:dyDescent="0.25">
      <c r="A10" s="8">
        <v>10</v>
      </c>
      <c r="B10" s="8" t="s">
        <v>704</v>
      </c>
      <c r="C10" s="8">
        <v>11</v>
      </c>
      <c r="D10" s="8">
        <v>100</v>
      </c>
      <c r="E10" s="8">
        <v>84</v>
      </c>
      <c r="F10" s="8">
        <v>48.5</v>
      </c>
      <c r="G10" s="9">
        <v>33100000</v>
      </c>
      <c r="H10" s="10">
        <v>38400000</v>
      </c>
      <c r="I10" s="23">
        <f t="shared" si="0"/>
        <v>46340000</v>
      </c>
      <c r="J10" s="12">
        <v>26500000</v>
      </c>
      <c r="K10" s="20">
        <v>24537037</v>
      </c>
    </row>
    <row r="11" spans="1:11" ht="18" customHeight="1" x14ac:dyDescent="0.25">
      <c r="A11" s="14">
        <v>11</v>
      </c>
      <c r="B11" s="14" t="s">
        <v>705</v>
      </c>
      <c r="C11" s="14">
        <v>11</v>
      </c>
      <c r="D11" s="14">
        <v>150</v>
      </c>
      <c r="E11" s="14">
        <v>147</v>
      </c>
      <c r="F11" s="14">
        <v>32</v>
      </c>
      <c r="G11" s="9">
        <v>33100000</v>
      </c>
      <c r="H11" s="10">
        <v>38400000</v>
      </c>
      <c r="I11" s="23">
        <f t="shared" si="0"/>
        <v>46340000</v>
      </c>
      <c r="J11" s="15">
        <v>26500000</v>
      </c>
      <c r="K11" s="20">
        <v>24537037</v>
      </c>
    </row>
    <row r="12" spans="1:11" ht="18" customHeight="1" x14ac:dyDescent="0.25">
      <c r="A12" s="8">
        <v>12</v>
      </c>
      <c r="B12" s="8" t="s">
        <v>706</v>
      </c>
      <c r="C12" s="8">
        <v>15</v>
      </c>
      <c r="D12" s="8">
        <v>100</v>
      </c>
      <c r="E12" s="8">
        <v>84</v>
      </c>
      <c r="F12" s="8">
        <v>56</v>
      </c>
      <c r="G12" s="9">
        <v>40600000</v>
      </c>
      <c r="H12" s="10">
        <v>47100000</v>
      </c>
      <c r="I12" s="23">
        <f t="shared" si="0"/>
        <v>56840000</v>
      </c>
      <c r="J12" s="12">
        <v>32500000</v>
      </c>
      <c r="K12" s="20">
        <v>30092593</v>
      </c>
    </row>
    <row r="13" spans="1:11" ht="18" customHeight="1" x14ac:dyDescent="0.25">
      <c r="A13" s="14">
        <v>13</v>
      </c>
      <c r="B13" s="14" t="s">
        <v>707</v>
      </c>
      <c r="C13" s="14">
        <v>15</v>
      </c>
      <c r="D13" s="14">
        <v>150</v>
      </c>
      <c r="E13" s="14">
        <v>156</v>
      </c>
      <c r="F13" s="14">
        <v>40</v>
      </c>
      <c r="G13" s="9">
        <v>40600000</v>
      </c>
      <c r="H13" s="10">
        <v>47100000</v>
      </c>
      <c r="I13" s="23">
        <f t="shared" si="0"/>
        <v>56840000</v>
      </c>
      <c r="J13" s="15">
        <v>32500000</v>
      </c>
      <c r="K13" s="20">
        <v>30092593</v>
      </c>
    </row>
    <row r="14" spans="1:11" ht="18" customHeight="1" x14ac:dyDescent="0.25">
      <c r="A14" s="8">
        <v>14</v>
      </c>
      <c r="B14" s="8" t="s">
        <v>708</v>
      </c>
      <c r="C14" s="8">
        <v>22</v>
      </c>
      <c r="D14" s="8">
        <v>100</v>
      </c>
      <c r="E14" s="8">
        <v>138</v>
      </c>
      <c r="F14" s="8">
        <v>68</v>
      </c>
      <c r="G14" s="9">
        <v>106300000</v>
      </c>
      <c r="H14" s="10">
        <v>123300000</v>
      </c>
      <c r="I14" s="23">
        <f t="shared" si="0"/>
        <v>148820000</v>
      </c>
      <c r="J14" s="12">
        <v>85000000</v>
      </c>
      <c r="K14" s="20">
        <v>78703704</v>
      </c>
    </row>
    <row r="15" spans="1:11" ht="18" customHeight="1" x14ac:dyDescent="0.25">
      <c r="A15" s="14">
        <v>15</v>
      </c>
      <c r="B15" s="14" t="s">
        <v>709</v>
      </c>
      <c r="C15" s="14">
        <v>22</v>
      </c>
      <c r="D15" s="14">
        <v>150</v>
      </c>
      <c r="E15" s="14">
        <v>210</v>
      </c>
      <c r="F15" s="14">
        <v>52</v>
      </c>
      <c r="G15" s="9">
        <v>106300000</v>
      </c>
      <c r="H15" s="10">
        <v>123300000</v>
      </c>
      <c r="I15" s="23">
        <f t="shared" si="0"/>
        <v>148820000</v>
      </c>
      <c r="J15" s="15">
        <v>85000000</v>
      </c>
      <c r="K15" s="20">
        <v>78703704</v>
      </c>
    </row>
    <row r="16" spans="1:11" ht="18" customHeight="1" x14ac:dyDescent="0.25">
      <c r="A16" s="8">
        <v>17</v>
      </c>
      <c r="B16" s="8" t="s">
        <v>710</v>
      </c>
      <c r="C16" s="8">
        <v>30</v>
      </c>
      <c r="D16" s="8">
        <v>100</v>
      </c>
      <c r="E16" s="8">
        <v>170</v>
      </c>
      <c r="F16" s="8">
        <v>82</v>
      </c>
      <c r="G16" s="9">
        <v>131300000</v>
      </c>
      <c r="H16" s="10">
        <v>152300000</v>
      </c>
      <c r="I16" s="23">
        <f t="shared" si="0"/>
        <v>183820000</v>
      </c>
      <c r="J16" s="12">
        <v>105000000</v>
      </c>
      <c r="K16" s="20">
        <v>97222222</v>
      </c>
    </row>
    <row r="17" spans="1:11" ht="18" customHeight="1" x14ac:dyDescent="0.25">
      <c r="A17" s="14">
        <v>18</v>
      </c>
      <c r="B17" s="14" t="s">
        <v>711</v>
      </c>
      <c r="C17" s="14">
        <v>30</v>
      </c>
      <c r="D17" s="14">
        <v>150</v>
      </c>
      <c r="E17" s="14">
        <v>220</v>
      </c>
      <c r="F17" s="14">
        <v>64</v>
      </c>
      <c r="G17" s="9">
        <v>131300000</v>
      </c>
      <c r="H17" s="10">
        <v>152300000</v>
      </c>
      <c r="I17" s="23">
        <f t="shared" si="0"/>
        <v>183820000</v>
      </c>
      <c r="J17" s="15">
        <v>105000000</v>
      </c>
      <c r="K17" s="20">
        <v>97222222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zoomScaleNormal="100" workbookViewId="0">
      <pane ySplit="1" topLeftCell="A2" activePane="bottomLeft" state="frozen"/>
      <selection pane="bottomLeft" activeCell="K26" sqref="K26"/>
    </sheetView>
  </sheetViews>
  <sheetFormatPr defaultColWidth="8.7109375" defaultRowHeight="15" x14ac:dyDescent="0.25"/>
  <cols>
    <col min="1" max="1" width="5" style="1" customWidth="1"/>
    <col min="2" max="2" width="24" style="1" customWidth="1"/>
    <col min="3" max="3" width="12" style="1" customWidth="1"/>
    <col min="4" max="7" width="13" style="1" customWidth="1"/>
    <col min="8" max="9" width="14" style="1" customWidth="1"/>
  </cols>
  <sheetData>
    <row r="1" spans="1:9" ht="30" customHeight="1" x14ac:dyDescent="0.25">
      <c r="A1" s="2" t="s">
        <v>0</v>
      </c>
      <c r="B1" s="2" t="s">
        <v>1</v>
      </c>
      <c r="C1" s="2" t="s">
        <v>518</v>
      </c>
      <c r="D1" s="2" t="s">
        <v>712</v>
      </c>
      <c r="E1" s="3" t="s">
        <v>6</v>
      </c>
      <c r="F1" s="4" t="s">
        <v>7</v>
      </c>
      <c r="G1" s="5" t="s">
        <v>8</v>
      </c>
      <c r="H1" s="6" t="s">
        <v>196</v>
      </c>
      <c r="I1" s="6" t="s">
        <v>713</v>
      </c>
    </row>
    <row r="2" spans="1:9" ht="18" customHeight="1" x14ac:dyDescent="0.25">
      <c r="A2" s="8">
        <v>1</v>
      </c>
      <c r="B2" s="8" t="s">
        <v>714</v>
      </c>
      <c r="C2" s="8">
        <v>0.4</v>
      </c>
      <c r="D2" s="8">
        <v>1.8</v>
      </c>
      <c r="E2" s="9">
        <v>11500000</v>
      </c>
      <c r="F2" s="10">
        <v>13000000</v>
      </c>
      <c r="G2" s="19">
        <v>19500000</v>
      </c>
      <c r="H2" s="8"/>
      <c r="I2" s="12">
        <v>7800000</v>
      </c>
    </row>
    <row r="3" spans="1:9" ht="18" customHeight="1" x14ac:dyDescent="0.25">
      <c r="A3" s="14">
        <v>2</v>
      </c>
      <c r="B3" s="14" t="s">
        <v>715</v>
      </c>
      <c r="C3" s="14">
        <v>0.75</v>
      </c>
      <c r="D3" s="14">
        <v>3.6</v>
      </c>
      <c r="E3" s="9">
        <v>12500000</v>
      </c>
      <c r="F3" s="10">
        <v>14000000</v>
      </c>
      <c r="G3" s="19">
        <v>21000000</v>
      </c>
      <c r="H3" s="14"/>
      <c r="I3" s="15">
        <v>7800000</v>
      </c>
    </row>
    <row r="4" spans="1:9" ht="18" customHeight="1" x14ac:dyDescent="0.25">
      <c r="A4" s="8">
        <v>3</v>
      </c>
      <c r="B4" s="8" t="s">
        <v>716</v>
      </c>
      <c r="C4" s="8">
        <v>1.1000000000000001</v>
      </c>
      <c r="D4" s="8">
        <v>4.2</v>
      </c>
      <c r="E4" s="9">
        <v>13000000</v>
      </c>
      <c r="F4" s="10">
        <v>15000000</v>
      </c>
      <c r="G4" s="19">
        <v>22500000</v>
      </c>
      <c r="H4" s="8"/>
      <c r="I4" s="12">
        <v>7800000</v>
      </c>
    </row>
    <row r="5" spans="1:9" ht="18" customHeight="1" x14ac:dyDescent="0.25">
      <c r="A5" s="14">
        <v>4</v>
      </c>
      <c r="B5" s="14" t="s">
        <v>717</v>
      </c>
      <c r="C5" s="14">
        <v>1.5</v>
      </c>
      <c r="D5" s="14">
        <v>4.5</v>
      </c>
      <c r="E5" s="9">
        <v>13500000</v>
      </c>
      <c r="F5" s="10">
        <v>15500000</v>
      </c>
      <c r="G5" s="19">
        <v>23250000</v>
      </c>
      <c r="H5" s="14"/>
      <c r="I5" s="15">
        <v>9200000</v>
      </c>
    </row>
    <row r="6" spans="1:9" ht="18" customHeight="1" x14ac:dyDescent="0.25">
      <c r="A6" s="8">
        <v>5</v>
      </c>
      <c r="B6" s="8" t="s">
        <v>718</v>
      </c>
      <c r="C6" s="8">
        <v>2.2000000000000002</v>
      </c>
      <c r="D6" s="8">
        <v>6</v>
      </c>
      <c r="E6" s="9">
        <v>16000000</v>
      </c>
      <c r="F6" s="10">
        <v>18000000</v>
      </c>
      <c r="G6" s="19">
        <v>27000000</v>
      </c>
      <c r="H6" s="8"/>
      <c r="I6" s="12">
        <v>11300000</v>
      </c>
    </row>
    <row r="7" spans="1:9" ht="18" customHeight="1" x14ac:dyDescent="0.25">
      <c r="A7" s="14">
        <v>6</v>
      </c>
      <c r="B7" s="14" t="s">
        <v>719</v>
      </c>
      <c r="C7" s="14">
        <v>0.4</v>
      </c>
      <c r="D7" s="14">
        <v>1.8</v>
      </c>
      <c r="E7" s="9">
        <v>12000000</v>
      </c>
      <c r="F7" s="10">
        <v>14000000</v>
      </c>
      <c r="G7" s="19">
        <v>21000000</v>
      </c>
      <c r="H7" s="15">
        <v>10000000</v>
      </c>
      <c r="I7" s="14"/>
    </row>
    <row r="8" spans="1:9" ht="18" customHeight="1" x14ac:dyDescent="0.25">
      <c r="A8" s="8">
        <v>8</v>
      </c>
      <c r="B8" s="8" t="s">
        <v>720</v>
      </c>
      <c r="C8" s="8">
        <v>0.75</v>
      </c>
      <c r="D8" s="8">
        <v>3.6</v>
      </c>
      <c r="E8" s="9">
        <v>12500000</v>
      </c>
      <c r="F8" s="10">
        <v>15000000</v>
      </c>
      <c r="G8" s="19">
        <v>22500000</v>
      </c>
      <c r="H8" s="12">
        <v>10000000</v>
      </c>
      <c r="I8" s="8"/>
    </row>
    <row r="9" spans="1:9" ht="18" customHeight="1" x14ac:dyDescent="0.25">
      <c r="A9" s="14">
        <v>9</v>
      </c>
      <c r="B9" s="14" t="s">
        <v>721</v>
      </c>
      <c r="C9" s="14">
        <v>1.1000000000000001</v>
      </c>
      <c r="D9" s="14">
        <v>4.2</v>
      </c>
      <c r="E9" s="9">
        <v>13000000</v>
      </c>
      <c r="F9" s="10">
        <v>16000000</v>
      </c>
      <c r="G9" s="19">
        <v>24000000</v>
      </c>
      <c r="H9" s="15">
        <v>10000000</v>
      </c>
      <c r="I9" s="14"/>
    </row>
    <row r="10" spans="1:9" ht="18" customHeight="1" x14ac:dyDescent="0.25">
      <c r="A10" s="8">
        <v>10</v>
      </c>
      <c r="B10" s="8" t="s">
        <v>722</v>
      </c>
      <c r="C10" s="8">
        <v>1.5</v>
      </c>
      <c r="D10" s="8">
        <v>4.5</v>
      </c>
      <c r="E10" s="9">
        <v>13500000</v>
      </c>
      <c r="F10" s="10">
        <v>16500000</v>
      </c>
      <c r="G10" s="19">
        <v>24750000</v>
      </c>
      <c r="H10" s="12">
        <v>10000000</v>
      </c>
      <c r="I10" s="8"/>
    </row>
    <row r="11" spans="1:9" ht="18" customHeight="1" x14ac:dyDescent="0.25">
      <c r="A11" s="14">
        <v>11</v>
      </c>
      <c r="B11" s="14" t="s">
        <v>723</v>
      </c>
      <c r="C11" s="14">
        <v>2.2000000000000002</v>
      </c>
      <c r="D11" s="14">
        <v>6</v>
      </c>
      <c r="E11" s="9">
        <v>16500000</v>
      </c>
      <c r="F11" s="10">
        <v>19000000</v>
      </c>
      <c r="G11" s="19">
        <v>28500000</v>
      </c>
      <c r="H11" s="15">
        <v>14000000</v>
      </c>
      <c r="I11" s="1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zoomScaleNormal="100" workbookViewId="0">
      <pane ySplit="1" topLeftCell="A2" activePane="bottomLeft" state="frozen"/>
      <selection pane="bottomLeft" activeCell="P17" sqref="P17"/>
    </sheetView>
  </sheetViews>
  <sheetFormatPr defaultColWidth="8.7109375" defaultRowHeight="15" x14ac:dyDescent="0.25"/>
  <cols>
    <col min="1" max="1" width="5" style="1" customWidth="1"/>
    <col min="2" max="2" width="24" style="1" customWidth="1"/>
    <col min="3" max="5" width="12" style="1" customWidth="1"/>
    <col min="6" max="10" width="13" style="1" customWidth="1"/>
  </cols>
  <sheetData>
    <row r="1" spans="1:10" ht="30" customHeight="1" x14ac:dyDescent="0.25">
      <c r="A1" s="2" t="s">
        <v>0</v>
      </c>
      <c r="B1" s="2" t="s">
        <v>1</v>
      </c>
      <c r="C1" s="2" t="s">
        <v>337</v>
      </c>
      <c r="D1" s="2" t="s">
        <v>724</v>
      </c>
      <c r="E1" s="2" t="s">
        <v>725</v>
      </c>
      <c r="F1" s="3" t="s">
        <v>6</v>
      </c>
      <c r="G1" s="4" t="s">
        <v>7</v>
      </c>
      <c r="H1" s="5" t="s">
        <v>8</v>
      </c>
      <c r="I1" s="6" t="s">
        <v>726</v>
      </c>
      <c r="J1" s="6" t="s">
        <v>727</v>
      </c>
    </row>
    <row r="2" spans="1:10" ht="18" customHeight="1" x14ac:dyDescent="0.25">
      <c r="A2" s="8">
        <v>1</v>
      </c>
      <c r="B2" s="8" t="s">
        <v>728</v>
      </c>
      <c r="C2" s="8">
        <v>45</v>
      </c>
      <c r="D2" s="8">
        <v>10</v>
      </c>
      <c r="E2" s="8">
        <v>3</v>
      </c>
      <c r="F2" s="36" t="s">
        <v>729</v>
      </c>
      <c r="G2" s="17" t="s">
        <v>729</v>
      </c>
      <c r="H2" s="19">
        <v>4200000</v>
      </c>
      <c r="I2" s="12">
        <v>2315000</v>
      </c>
      <c r="J2" s="20">
        <v>2200000</v>
      </c>
    </row>
    <row r="3" spans="1:10" ht="18" customHeight="1" x14ac:dyDescent="0.25">
      <c r="A3" s="14">
        <v>2</v>
      </c>
      <c r="B3" s="14" t="s">
        <v>730</v>
      </c>
      <c r="C3" s="14">
        <v>45</v>
      </c>
      <c r="D3" s="14">
        <v>20</v>
      </c>
      <c r="E3" s="14">
        <v>3</v>
      </c>
      <c r="F3" s="36" t="s">
        <v>729</v>
      </c>
      <c r="G3" s="17" t="s">
        <v>729</v>
      </c>
      <c r="H3" s="19">
        <v>4200000</v>
      </c>
      <c r="I3" s="15">
        <v>2315000</v>
      </c>
      <c r="J3" s="20">
        <v>2200000</v>
      </c>
    </row>
    <row r="4" spans="1:10" ht="18" customHeight="1" x14ac:dyDescent="0.25">
      <c r="A4" s="8">
        <v>3</v>
      </c>
      <c r="B4" s="8" t="s">
        <v>731</v>
      </c>
      <c r="C4" s="8">
        <v>45</v>
      </c>
      <c r="D4" s="8">
        <v>30</v>
      </c>
      <c r="E4" s="8">
        <v>1</v>
      </c>
      <c r="F4" s="36" t="s">
        <v>729</v>
      </c>
      <c r="G4" s="17" t="s">
        <v>729</v>
      </c>
      <c r="H4" s="19">
        <v>4500000</v>
      </c>
      <c r="I4" s="12">
        <v>3520000</v>
      </c>
      <c r="J4" s="20">
        <v>2200000</v>
      </c>
    </row>
    <row r="5" spans="1:10" ht="18" customHeight="1" x14ac:dyDescent="0.25">
      <c r="A5" s="14">
        <v>4</v>
      </c>
      <c r="B5" s="14" t="s">
        <v>732</v>
      </c>
      <c r="C5" s="14">
        <v>45</v>
      </c>
      <c r="D5" s="14">
        <v>50</v>
      </c>
      <c r="E5" s="14">
        <v>1</v>
      </c>
      <c r="F5" s="36" t="s">
        <v>729</v>
      </c>
      <c r="G5" s="17" t="s">
        <v>729</v>
      </c>
      <c r="H5" s="19">
        <v>4500000</v>
      </c>
      <c r="I5" s="15">
        <v>3520000</v>
      </c>
      <c r="J5" s="20">
        <v>2200000</v>
      </c>
    </row>
    <row r="6" spans="1:10" ht="18" customHeight="1" x14ac:dyDescent="0.25">
      <c r="A6" s="8">
        <v>5</v>
      </c>
      <c r="B6" s="8" t="s">
        <v>733</v>
      </c>
      <c r="C6" s="8">
        <v>250</v>
      </c>
      <c r="D6" s="8">
        <v>50</v>
      </c>
      <c r="E6" s="8">
        <v>10</v>
      </c>
      <c r="F6" s="36" t="s">
        <v>729</v>
      </c>
      <c r="G6" s="17" t="s">
        <v>729</v>
      </c>
      <c r="H6" s="19">
        <v>8500000</v>
      </c>
      <c r="I6" s="12">
        <v>5926000</v>
      </c>
      <c r="J6" s="20">
        <v>5500000</v>
      </c>
    </row>
    <row r="7" spans="1:10" ht="18" customHeight="1" x14ac:dyDescent="0.25">
      <c r="A7" s="14">
        <v>6</v>
      </c>
      <c r="B7" s="14" t="s">
        <v>734</v>
      </c>
      <c r="C7" s="14">
        <v>250</v>
      </c>
      <c r="D7" s="14">
        <v>75</v>
      </c>
      <c r="E7" s="14">
        <v>10</v>
      </c>
      <c r="F7" s="36" t="s">
        <v>729</v>
      </c>
      <c r="G7" s="17" t="s">
        <v>729</v>
      </c>
      <c r="H7" s="19">
        <v>8500000</v>
      </c>
      <c r="I7" s="15">
        <v>5926000</v>
      </c>
      <c r="J7" s="20">
        <v>5500000</v>
      </c>
    </row>
    <row r="8" spans="1:10" ht="18" customHeight="1" x14ac:dyDescent="0.25">
      <c r="A8" s="8">
        <v>7</v>
      </c>
      <c r="B8" s="8" t="s">
        <v>735</v>
      </c>
      <c r="C8" s="8">
        <v>250</v>
      </c>
      <c r="D8" s="8">
        <v>101</v>
      </c>
      <c r="E8" s="8">
        <v>10</v>
      </c>
      <c r="F8" s="36" t="s">
        <v>729</v>
      </c>
      <c r="G8" s="17" t="s">
        <v>729</v>
      </c>
      <c r="H8" s="19">
        <v>8500000</v>
      </c>
      <c r="I8" s="12">
        <v>5926000</v>
      </c>
      <c r="J8" s="20">
        <v>5500000</v>
      </c>
    </row>
    <row r="9" spans="1:10" ht="18" customHeight="1" x14ac:dyDescent="0.25">
      <c r="A9" s="14">
        <v>8</v>
      </c>
      <c r="B9" s="14" t="s">
        <v>736</v>
      </c>
      <c r="C9" s="14">
        <v>250</v>
      </c>
      <c r="D9" s="14">
        <v>155</v>
      </c>
      <c r="E9" s="14">
        <v>10</v>
      </c>
      <c r="F9" s="36" t="s">
        <v>729</v>
      </c>
      <c r="G9" s="17" t="s">
        <v>729</v>
      </c>
      <c r="H9" s="19">
        <v>8500000</v>
      </c>
      <c r="I9" s="15">
        <v>5926000</v>
      </c>
      <c r="J9" s="20">
        <v>5500000</v>
      </c>
    </row>
    <row r="10" spans="1:10" ht="18" customHeight="1" x14ac:dyDescent="0.25">
      <c r="A10" s="8">
        <v>9</v>
      </c>
      <c r="B10" s="8" t="s">
        <v>737</v>
      </c>
      <c r="C10" s="8">
        <v>250</v>
      </c>
      <c r="D10" s="8">
        <v>201</v>
      </c>
      <c r="E10" s="8">
        <v>7</v>
      </c>
      <c r="F10" s="36" t="s">
        <v>729</v>
      </c>
      <c r="G10" s="17" t="s">
        <v>729</v>
      </c>
      <c r="H10" s="19">
        <v>10500000</v>
      </c>
      <c r="I10" s="12">
        <v>5926000</v>
      </c>
      <c r="J10" s="20">
        <v>5500000</v>
      </c>
    </row>
    <row r="11" spans="1:10" ht="18" customHeight="1" x14ac:dyDescent="0.25">
      <c r="A11" s="14">
        <v>10</v>
      </c>
      <c r="B11" s="14" t="s">
        <v>738</v>
      </c>
      <c r="C11" s="14">
        <v>250</v>
      </c>
      <c r="D11" s="14">
        <v>321</v>
      </c>
      <c r="E11" s="14">
        <v>6</v>
      </c>
      <c r="F11" s="36" t="s">
        <v>729</v>
      </c>
      <c r="G11" s="17" t="s">
        <v>729</v>
      </c>
      <c r="H11" s="19">
        <v>10500000</v>
      </c>
      <c r="I11" s="15">
        <v>5926000</v>
      </c>
      <c r="J11" s="20">
        <v>5500000</v>
      </c>
    </row>
    <row r="12" spans="1:10" ht="18" customHeight="1" x14ac:dyDescent="0.25">
      <c r="A12" s="8">
        <v>11</v>
      </c>
      <c r="B12" s="8" t="s">
        <v>739</v>
      </c>
      <c r="C12" s="8">
        <v>250</v>
      </c>
      <c r="D12" s="8">
        <v>421</v>
      </c>
      <c r="E12" s="8">
        <v>5</v>
      </c>
      <c r="F12" s="36" t="s">
        <v>729</v>
      </c>
      <c r="G12" s="17" t="s">
        <v>729</v>
      </c>
      <c r="H12" s="19">
        <v>10500000</v>
      </c>
      <c r="I12" s="12">
        <v>5926000</v>
      </c>
      <c r="J12" s="20">
        <v>5500000</v>
      </c>
    </row>
    <row r="13" spans="1:10" ht="18" customHeight="1" x14ac:dyDescent="0.25">
      <c r="A13" s="14">
        <v>12</v>
      </c>
      <c r="B13" s="14" t="s">
        <v>740</v>
      </c>
      <c r="C13" s="14">
        <v>370</v>
      </c>
      <c r="D13" s="14">
        <v>521</v>
      </c>
      <c r="E13" s="14">
        <v>5</v>
      </c>
      <c r="F13" s="36" t="s">
        <v>729</v>
      </c>
      <c r="G13" s="17" t="s">
        <v>729</v>
      </c>
      <c r="H13" s="19">
        <v>16000000</v>
      </c>
      <c r="I13" s="15">
        <v>5926000</v>
      </c>
      <c r="J13" s="20">
        <v>12000000</v>
      </c>
    </row>
    <row r="14" spans="1:10" ht="18" customHeight="1" x14ac:dyDescent="0.25">
      <c r="A14" s="8">
        <v>13</v>
      </c>
      <c r="B14" s="8" t="s">
        <v>741</v>
      </c>
      <c r="C14" s="8">
        <v>45</v>
      </c>
      <c r="D14" s="8">
        <v>14</v>
      </c>
      <c r="E14" s="8">
        <v>4.2</v>
      </c>
      <c r="F14" s="36" t="s">
        <v>729</v>
      </c>
      <c r="G14" s="17" t="s">
        <v>729</v>
      </c>
      <c r="H14" s="19">
        <v>4500000</v>
      </c>
      <c r="I14" s="8"/>
      <c r="J14" s="12">
        <v>2000000</v>
      </c>
    </row>
    <row r="15" spans="1:10" ht="18" customHeight="1" x14ac:dyDescent="0.25">
      <c r="A15" s="14">
        <v>14</v>
      </c>
      <c r="B15" s="14" t="s">
        <v>742</v>
      </c>
      <c r="C15" s="14">
        <v>45</v>
      </c>
      <c r="D15" s="14">
        <v>30</v>
      </c>
      <c r="E15" s="14">
        <v>2.1</v>
      </c>
      <c r="F15" s="36" t="s">
        <v>729</v>
      </c>
      <c r="G15" s="17" t="s">
        <v>729</v>
      </c>
      <c r="H15" s="19">
        <v>5200000</v>
      </c>
      <c r="I15" s="14"/>
      <c r="J15" s="15">
        <v>2200000</v>
      </c>
    </row>
    <row r="16" spans="1:10" ht="18" customHeight="1" x14ac:dyDescent="0.25">
      <c r="A16" s="8">
        <v>15</v>
      </c>
      <c r="B16" s="8" t="s">
        <v>743</v>
      </c>
      <c r="C16" s="8">
        <v>45</v>
      </c>
      <c r="D16" s="8">
        <v>55</v>
      </c>
      <c r="E16" s="8">
        <v>0.7</v>
      </c>
      <c r="F16" s="36" t="s">
        <v>729</v>
      </c>
      <c r="G16" s="17" t="s">
        <v>729</v>
      </c>
      <c r="H16" s="19">
        <v>6800000</v>
      </c>
      <c r="I16" s="8"/>
      <c r="J16" s="12">
        <v>2200000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zoomScaleNormal="100" workbookViewId="0">
      <pane ySplit="1" topLeftCell="A10" activePane="bottomLeft" state="frozen"/>
      <selection pane="bottomLeft" activeCell="L32" sqref="L32"/>
    </sheetView>
  </sheetViews>
  <sheetFormatPr defaultColWidth="8.7109375" defaultRowHeight="15" x14ac:dyDescent="0.25"/>
  <cols>
    <col min="1" max="1" width="5" style="1" customWidth="1"/>
    <col min="2" max="2" width="24" style="1" customWidth="1"/>
    <col min="3" max="4" width="12" style="1" customWidth="1"/>
    <col min="5" max="5" width="13" style="1" customWidth="1"/>
    <col min="6" max="6" width="11" style="1" customWidth="1"/>
    <col min="7" max="7" width="13" style="1" customWidth="1"/>
    <col min="8" max="10" width="14" style="1" customWidth="1"/>
  </cols>
  <sheetData>
    <row r="1" spans="1:10" ht="30" customHeight="1" x14ac:dyDescent="0.25">
      <c r="A1" s="2" t="s">
        <v>0</v>
      </c>
      <c r="B1" s="2" t="s">
        <v>1</v>
      </c>
      <c r="C1" s="2" t="s">
        <v>337</v>
      </c>
      <c r="D1" s="2" t="s">
        <v>744</v>
      </c>
      <c r="E1" s="2" t="s">
        <v>712</v>
      </c>
      <c r="F1" s="2" t="s">
        <v>300</v>
      </c>
      <c r="G1" s="4" t="s">
        <v>745</v>
      </c>
      <c r="H1" s="6" t="s">
        <v>746</v>
      </c>
      <c r="I1" s="2" t="s">
        <v>747</v>
      </c>
      <c r="J1" s="2" t="s">
        <v>748</v>
      </c>
    </row>
    <row r="2" spans="1:10" ht="18" customHeight="1" x14ac:dyDescent="0.25">
      <c r="A2" s="8">
        <v>4</v>
      </c>
      <c r="B2" s="8" t="s">
        <v>749</v>
      </c>
      <c r="C2" s="8">
        <v>1.1000000000000001</v>
      </c>
      <c r="D2" s="8">
        <v>40</v>
      </c>
      <c r="E2" s="8" t="s">
        <v>750</v>
      </c>
      <c r="F2" s="8" t="s">
        <v>751</v>
      </c>
      <c r="G2" s="10">
        <v>17000000</v>
      </c>
      <c r="H2" s="12">
        <v>12383000</v>
      </c>
      <c r="I2" s="12">
        <v>10200000</v>
      </c>
      <c r="J2" s="12">
        <v>1683000</v>
      </c>
    </row>
    <row r="3" spans="1:10" ht="18" customHeight="1" x14ac:dyDescent="0.25">
      <c r="A3" s="14">
        <v>5</v>
      </c>
      <c r="B3" s="14" t="s">
        <v>752</v>
      </c>
      <c r="C3" s="14">
        <v>1.5</v>
      </c>
      <c r="D3" s="14">
        <v>40</v>
      </c>
      <c r="E3" s="8" t="s">
        <v>750</v>
      </c>
      <c r="F3" s="8" t="s">
        <v>751</v>
      </c>
      <c r="G3" s="10">
        <v>17200000</v>
      </c>
      <c r="H3" s="15">
        <v>12617000</v>
      </c>
      <c r="I3" s="15">
        <v>10200000</v>
      </c>
      <c r="J3" s="15">
        <v>1917000</v>
      </c>
    </row>
    <row r="4" spans="1:10" ht="18" customHeight="1" x14ac:dyDescent="0.25">
      <c r="A4" s="8">
        <v>6</v>
      </c>
      <c r="B4" s="8" t="s">
        <v>753</v>
      </c>
      <c r="C4" s="8">
        <v>2.2000000000000002</v>
      </c>
      <c r="D4" s="8">
        <v>40</v>
      </c>
      <c r="E4" s="8" t="s">
        <v>750</v>
      </c>
      <c r="F4" s="8" t="s">
        <v>751</v>
      </c>
      <c r="G4" s="10">
        <v>17800000</v>
      </c>
      <c r="H4" s="12">
        <v>13211000</v>
      </c>
      <c r="I4" s="12">
        <v>10200000</v>
      </c>
      <c r="J4" s="12">
        <v>2511000</v>
      </c>
    </row>
    <row r="5" spans="1:10" ht="18" customHeight="1" x14ac:dyDescent="0.25">
      <c r="A5" s="14">
        <v>9</v>
      </c>
      <c r="B5" s="14" t="s">
        <v>754</v>
      </c>
      <c r="C5" s="14">
        <v>1.5</v>
      </c>
      <c r="D5" s="14">
        <v>50</v>
      </c>
      <c r="E5" s="14" t="s">
        <v>755</v>
      </c>
      <c r="F5" s="8" t="s">
        <v>751</v>
      </c>
      <c r="G5" s="10">
        <v>21800000</v>
      </c>
      <c r="H5" s="15">
        <v>15417000</v>
      </c>
      <c r="I5" s="15">
        <v>13000000</v>
      </c>
      <c r="J5" s="15">
        <v>1917000</v>
      </c>
    </row>
    <row r="6" spans="1:10" ht="18" customHeight="1" x14ac:dyDescent="0.25">
      <c r="A6" s="8">
        <v>10</v>
      </c>
      <c r="B6" s="8" t="s">
        <v>756</v>
      </c>
      <c r="C6" s="8">
        <v>2.2000000000000002</v>
      </c>
      <c r="D6" s="8">
        <v>50</v>
      </c>
      <c r="E6" s="14" t="s">
        <v>755</v>
      </c>
      <c r="F6" s="8" t="s">
        <v>751</v>
      </c>
      <c r="G6" s="10">
        <v>22400000</v>
      </c>
      <c r="H6" s="12">
        <v>16011000</v>
      </c>
      <c r="I6" s="12">
        <v>13000000</v>
      </c>
      <c r="J6" s="12">
        <v>2511000</v>
      </c>
    </row>
    <row r="7" spans="1:10" ht="18" customHeight="1" x14ac:dyDescent="0.25">
      <c r="A7" s="14">
        <v>11</v>
      </c>
      <c r="B7" s="14" t="s">
        <v>757</v>
      </c>
      <c r="C7" s="14">
        <v>3</v>
      </c>
      <c r="D7" s="14">
        <v>50</v>
      </c>
      <c r="E7" s="14" t="s">
        <v>755</v>
      </c>
      <c r="F7" s="8" t="s">
        <v>751</v>
      </c>
      <c r="G7" s="10">
        <v>22700000</v>
      </c>
      <c r="H7" s="15">
        <v>16299000</v>
      </c>
      <c r="I7" s="15">
        <v>13000000</v>
      </c>
      <c r="J7" s="15">
        <v>2799000</v>
      </c>
    </row>
    <row r="8" spans="1:10" ht="18" customHeight="1" x14ac:dyDescent="0.25">
      <c r="A8" s="8">
        <v>12</v>
      </c>
      <c r="B8" s="8" t="s">
        <v>758</v>
      </c>
      <c r="C8" s="8">
        <v>4</v>
      </c>
      <c r="D8" s="8">
        <v>50</v>
      </c>
      <c r="E8" s="14" t="s">
        <v>755</v>
      </c>
      <c r="F8" s="8" t="s">
        <v>751</v>
      </c>
      <c r="G8" s="10">
        <v>23400000</v>
      </c>
      <c r="H8" s="12">
        <v>17082000</v>
      </c>
      <c r="I8" s="12">
        <v>13000000</v>
      </c>
      <c r="J8" s="12">
        <v>3582000</v>
      </c>
    </row>
    <row r="9" spans="1:10" ht="18" customHeight="1" x14ac:dyDescent="0.25">
      <c r="A9" s="14">
        <v>13</v>
      </c>
      <c r="B9" s="14" t="s">
        <v>759</v>
      </c>
      <c r="C9" s="14">
        <v>5.5</v>
      </c>
      <c r="D9" s="14">
        <v>50</v>
      </c>
      <c r="E9" s="14" t="s">
        <v>755</v>
      </c>
      <c r="F9" s="8" t="s">
        <v>751</v>
      </c>
      <c r="G9" s="10">
        <v>24700000</v>
      </c>
      <c r="H9" s="15">
        <v>18297000</v>
      </c>
      <c r="I9" s="15">
        <v>13000000</v>
      </c>
      <c r="J9" s="15">
        <v>4797000</v>
      </c>
    </row>
    <row r="10" spans="1:10" ht="18" customHeight="1" x14ac:dyDescent="0.25">
      <c r="A10" s="8">
        <v>15</v>
      </c>
      <c r="B10" s="8" t="s">
        <v>760</v>
      </c>
      <c r="C10" s="8">
        <v>2.2000000000000002</v>
      </c>
      <c r="D10" s="8">
        <v>65</v>
      </c>
      <c r="E10" s="8" t="s">
        <v>761</v>
      </c>
      <c r="F10" s="8" t="s">
        <v>751</v>
      </c>
      <c r="G10" s="10">
        <v>24200000</v>
      </c>
      <c r="H10" s="12">
        <v>17511000</v>
      </c>
      <c r="I10" s="12">
        <v>14500000</v>
      </c>
      <c r="J10" s="12">
        <v>2511000</v>
      </c>
    </row>
    <row r="11" spans="1:10" ht="18" customHeight="1" x14ac:dyDescent="0.25">
      <c r="A11" s="14">
        <v>16</v>
      </c>
      <c r="B11" s="14" t="s">
        <v>762</v>
      </c>
      <c r="C11" s="14">
        <v>3</v>
      </c>
      <c r="D11" s="14">
        <v>65</v>
      </c>
      <c r="E11" s="8" t="s">
        <v>761</v>
      </c>
      <c r="F11" s="8" t="s">
        <v>751</v>
      </c>
      <c r="G11" s="10">
        <v>24400000</v>
      </c>
      <c r="H11" s="15">
        <v>17799000</v>
      </c>
      <c r="I11" s="15">
        <v>14500000</v>
      </c>
      <c r="J11" s="15">
        <v>2799000</v>
      </c>
    </row>
    <row r="12" spans="1:10" ht="18" customHeight="1" x14ac:dyDescent="0.25">
      <c r="A12" s="8">
        <v>17</v>
      </c>
      <c r="B12" s="8" t="s">
        <v>763</v>
      </c>
      <c r="C12" s="8">
        <v>4</v>
      </c>
      <c r="D12" s="8">
        <v>65</v>
      </c>
      <c r="E12" s="8" t="s">
        <v>761</v>
      </c>
      <c r="F12" s="8" t="s">
        <v>751</v>
      </c>
      <c r="G12" s="10">
        <v>25200000</v>
      </c>
      <c r="H12" s="12">
        <v>18582000</v>
      </c>
      <c r="I12" s="12">
        <v>14500000</v>
      </c>
      <c r="J12" s="12">
        <v>3582000</v>
      </c>
    </row>
    <row r="13" spans="1:10" ht="18" customHeight="1" x14ac:dyDescent="0.25">
      <c r="A13" s="14">
        <v>18</v>
      </c>
      <c r="B13" s="14" t="s">
        <v>764</v>
      </c>
      <c r="C13" s="14">
        <v>5.5</v>
      </c>
      <c r="D13" s="14">
        <v>65</v>
      </c>
      <c r="E13" s="8" t="s">
        <v>761</v>
      </c>
      <c r="F13" s="8" t="s">
        <v>751</v>
      </c>
      <c r="G13" s="10">
        <v>26400000</v>
      </c>
      <c r="H13" s="15">
        <v>19797000</v>
      </c>
      <c r="I13" s="15">
        <v>14500000</v>
      </c>
      <c r="J13" s="15">
        <v>4797000</v>
      </c>
    </row>
    <row r="14" spans="1:10" ht="18" customHeight="1" x14ac:dyDescent="0.25">
      <c r="A14" s="8">
        <v>19</v>
      </c>
      <c r="B14" s="8" t="s">
        <v>765</v>
      </c>
      <c r="C14" s="8">
        <v>7.5</v>
      </c>
      <c r="D14" s="8">
        <v>65</v>
      </c>
      <c r="E14" s="8" t="s">
        <v>761</v>
      </c>
      <c r="F14" s="8" t="s">
        <v>751</v>
      </c>
      <c r="G14" s="10">
        <v>27200000</v>
      </c>
      <c r="H14" s="12">
        <v>20382000</v>
      </c>
      <c r="I14" s="12">
        <v>14500000</v>
      </c>
      <c r="J14" s="12">
        <v>5382000</v>
      </c>
    </row>
    <row r="15" spans="1:10" ht="18" customHeight="1" x14ac:dyDescent="0.25">
      <c r="A15" s="14">
        <v>3</v>
      </c>
      <c r="B15" s="14" t="s">
        <v>766</v>
      </c>
      <c r="C15" s="14">
        <v>5.5</v>
      </c>
      <c r="D15" s="14">
        <v>80</v>
      </c>
      <c r="E15" s="14" t="s">
        <v>767</v>
      </c>
      <c r="F15" s="8" t="s">
        <v>751</v>
      </c>
      <c r="G15" s="10">
        <v>36800000</v>
      </c>
      <c r="H15" s="15">
        <v>28597000</v>
      </c>
      <c r="I15" s="15">
        <v>23000000</v>
      </c>
      <c r="J15" s="15">
        <v>4797000</v>
      </c>
    </row>
    <row r="16" spans="1:10" ht="18" customHeight="1" x14ac:dyDescent="0.25">
      <c r="A16" s="8">
        <v>4</v>
      </c>
      <c r="B16" s="8" t="s">
        <v>768</v>
      </c>
      <c r="C16" s="8">
        <v>7.5</v>
      </c>
      <c r="D16" s="8">
        <v>80</v>
      </c>
      <c r="E16" s="14" t="s">
        <v>767</v>
      </c>
      <c r="F16" s="8" t="s">
        <v>751</v>
      </c>
      <c r="G16" s="10">
        <v>37300000</v>
      </c>
      <c r="H16" s="12">
        <v>29182000</v>
      </c>
      <c r="I16" s="12">
        <v>23000000</v>
      </c>
      <c r="J16" s="12">
        <v>5382000</v>
      </c>
    </row>
    <row r="17" spans="1:10" ht="18" customHeight="1" x14ac:dyDescent="0.25">
      <c r="A17" s="14">
        <v>5</v>
      </c>
      <c r="B17" s="14" t="s">
        <v>769</v>
      </c>
      <c r="C17" s="14">
        <v>11</v>
      </c>
      <c r="D17" s="14">
        <v>80</v>
      </c>
      <c r="E17" s="14" t="s">
        <v>767</v>
      </c>
      <c r="F17" s="8" t="s">
        <v>751</v>
      </c>
      <c r="G17" s="10">
        <v>40300000</v>
      </c>
      <c r="H17" s="15">
        <v>32170000</v>
      </c>
      <c r="I17" s="15">
        <v>23000000</v>
      </c>
      <c r="J17" s="15">
        <v>8370000</v>
      </c>
    </row>
    <row r="18" spans="1:10" ht="18" customHeight="1" x14ac:dyDescent="0.25">
      <c r="A18" s="8">
        <v>6</v>
      </c>
      <c r="B18" s="8" t="s">
        <v>770</v>
      </c>
      <c r="C18" s="8">
        <v>5.5</v>
      </c>
      <c r="D18" s="8">
        <v>100</v>
      </c>
      <c r="E18" s="8" t="s">
        <v>771</v>
      </c>
      <c r="F18" s="8" t="s">
        <v>751</v>
      </c>
      <c r="G18" s="10">
        <v>42800000</v>
      </c>
      <c r="H18" s="12">
        <v>30597000</v>
      </c>
      <c r="I18" s="12">
        <v>25000000</v>
      </c>
      <c r="J18" s="12">
        <v>4797000</v>
      </c>
    </row>
    <row r="19" spans="1:10" ht="18" customHeight="1" x14ac:dyDescent="0.25">
      <c r="A19" s="14">
        <v>7</v>
      </c>
      <c r="B19" s="14" t="s">
        <v>772</v>
      </c>
      <c r="C19" s="14">
        <v>7.5</v>
      </c>
      <c r="D19" s="14">
        <v>100</v>
      </c>
      <c r="E19" s="8" t="s">
        <v>771</v>
      </c>
      <c r="F19" s="8" t="s">
        <v>751</v>
      </c>
      <c r="G19" s="10">
        <v>43300000</v>
      </c>
      <c r="H19" s="15">
        <v>31182000</v>
      </c>
      <c r="I19" s="15">
        <v>25000000</v>
      </c>
      <c r="J19" s="15">
        <v>5382000</v>
      </c>
    </row>
    <row r="20" spans="1:10" ht="18" customHeight="1" x14ac:dyDescent="0.25">
      <c r="A20" s="8">
        <v>8</v>
      </c>
      <c r="B20" s="8" t="s">
        <v>773</v>
      </c>
      <c r="C20" s="8">
        <v>11</v>
      </c>
      <c r="D20" s="8">
        <v>100</v>
      </c>
      <c r="E20" s="8" t="s">
        <v>771</v>
      </c>
      <c r="F20" s="8" t="s">
        <v>751</v>
      </c>
      <c r="G20" s="10">
        <v>46300000</v>
      </c>
      <c r="H20" s="12">
        <v>34170000</v>
      </c>
      <c r="I20" s="12">
        <v>25000000</v>
      </c>
      <c r="J20" s="12">
        <v>8370000</v>
      </c>
    </row>
    <row r="21" spans="1:10" ht="18" customHeight="1" x14ac:dyDescent="0.25">
      <c r="A21" s="14">
        <v>9</v>
      </c>
      <c r="B21" s="14" t="s">
        <v>774</v>
      </c>
      <c r="C21" s="14">
        <v>15</v>
      </c>
      <c r="D21" s="14">
        <v>100</v>
      </c>
      <c r="E21" s="8" t="s">
        <v>771</v>
      </c>
      <c r="F21" s="8" t="s">
        <v>751</v>
      </c>
      <c r="G21" s="10">
        <v>47800000</v>
      </c>
      <c r="H21" s="15">
        <v>35592000</v>
      </c>
      <c r="I21" s="15">
        <v>25000000</v>
      </c>
      <c r="J21" s="15">
        <v>9792000</v>
      </c>
    </row>
    <row r="22" spans="1:10" ht="18" customHeight="1" x14ac:dyDescent="0.25">
      <c r="A22" s="8">
        <v>10</v>
      </c>
      <c r="B22" s="8" t="s">
        <v>775</v>
      </c>
      <c r="C22" s="8">
        <v>11</v>
      </c>
      <c r="D22" s="8">
        <v>125</v>
      </c>
      <c r="E22" s="8" t="s">
        <v>776</v>
      </c>
      <c r="F22" s="8" t="s">
        <v>751</v>
      </c>
      <c r="G22" s="10">
        <v>70500000</v>
      </c>
      <c r="H22" s="12">
        <v>52670000</v>
      </c>
      <c r="I22" s="12">
        <v>43400000</v>
      </c>
      <c r="J22" s="12">
        <v>8370000</v>
      </c>
    </row>
    <row r="23" spans="1:10" ht="18" customHeight="1" x14ac:dyDescent="0.25">
      <c r="A23" s="14">
        <v>11</v>
      </c>
      <c r="B23" s="14" t="s">
        <v>777</v>
      </c>
      <c r="C23" s="14">
        <v>15</v>
      </c>
      <c r="D23" s="14">
        <v>125</v>
      </c>
      <c r="E23" s="8" t="s">
        <v>776</v>
      </c>
      <c r="F23" s="8" t="s">
        <v>751</v>
      </c>
      <c r="G23" s="10">
        <v>73000000</v>
      </c>
      <c r="H23" s="15">
        <v>54092000</v>
      </c>
      <c r="I23" s="15">
        <v>43400000</v>
      </c>
      <c r="J23" s="15">
        <v>9792000</v>
      </c>
    </row>
    <row r="24" spans="1:10" ht="18" customHeight="1" x14ac:dyDescent="0.25">
      <c r="A24" s="8">
        <v>12</v>
      </c>
      <c r="B24" s="8" t="s">
        <v>778</v>
      </c>
      <c r="C24" s="8">
        <v>18.5</v>
      </c>
      <c r="D24" s="8">
        <v>125</v>
      </c>
      <c r="E24" s="8" t="s">
        <v>776</v>
      </c>
      <c r="F24" s="8" t="s">
        <v>751</v>
      </c>
      <c r="G24" s="10">
        <v>75500000</v>
      </c>
      <c r="H24" s="12">
        <v>56510000</v>
      </c>
      <c r="I24" s="12">
        <v>43400000</v>
      </c>
      <c r="J24" s="12">
        <v>12210000</v>
      </c>
    </row>
    <row r="25" spans="1:10" ht="18" customHeight="1" x14ac:dyDescent="0.25">
      <c r="A25" s="14">
        <v>12</v>
      </c>
      <c r="B25" s="14" t="s">
        <v>779</v>
      </c>
      <c r="C25" s="14">
        <v>22</v>
      </c>
      <c r="D25" s="14">
        <v>125</v>
      </c>
      <c r="E25" s="8" t="s">
        <v>776</v>
      </c>
      <c r="F25" s="8" t="s">
        <v>751</v>
      </c>
      <c r="G25" s="10">
        <v>77000000</v>
      </c>
      <c r="H25" s="15">
        <v>57000000</v>
      </c>
      <c r="I25" s="15">
        <v>43400000</v>
      </c>
      <c r="J25" s="15">
        <v>13600000</v>
      </c>
    </row>
    <row r="26" spans="1:10" ht="18" customHeight="1" x14ac:dyDescent="0.25">
      <c r="A26" s="8">
        <v>20</v>
      </c>
      <c r="B26" s="8" t="s">
        <v>780</v>
      </c>
      <c r="C26" s="8">
        <v>30</v>
      </c>
      <c r="D26" s="8">
        <v>125</v>
      </c>
      <c r="E26" s="8" t="s">
        <v>776</v>
      </c>
      <c r="F26" s="8" t="s">
        <v>751</v>
      </c>
      <c r="G26" s="10">
        <v>81000000</v>
      </c>
      <c r="H26" s="12">
        <v>61760000</v>
      </c>
      <c r="I26" s="12">
        <v>43400000</v>
      </c>
      <c r="J26" s="12">
        <v>17460000</v>
      </c>
    </row>
    <row r="27" spans="1:10" ht="18" customHeight="1" x14ac:dyDescent="0.25">
      <c r="A27" s="14">
        <v>1</v>
      </c>
      <c r="B27" s="14" t="s">
        <v>781</v>
      </c>
      <c r="C27" s="14">
        <v>15</v>
      </c>
      <c r="D27" s="14">
        <v>150</v>
      </c>
      <c r="E27" s="14" t="s">
        <v>782</v>
      </c>
      <c r="F27" s="8" t="s">
        <v>751</v>
      </c>
      <c r="G27" s="10">
        <v>80500000</v>
      </c>
      <c r="H27" s="15">
        <v>56792000</v>
      </c>
      <c r="I27" s="15">
        <v>47000000</v>
      </c>
      <c r="J27" s="15">
        <v>9792000</v>
      </c>
    </row>
    <row r="28" spans="1:10" ht="18" customHeight="1" x14ac:dyDescent="0.25">
      <c r="A28" s="8">
        <v>2</v>
      </c>
      <c r="B28" s="8" t="s">
        <v>783</v>
      </c>
      <c r="C28" s="8">
        <v>18.5</v>
      </c>
      <c r="D28" s="8">
        <v>150</v>
      </c>
      <c r="E28" s="14" t="s">
        <v>782</v>
      </c>
      <c r="F28" s="8" t="s">
        <v>751</v>
      </c>
      <c r="G28" s="10">
        <v>83000000</v>
      </c>
      <c r="H28" s="12">
        <v>59210000</v>
      </c>
      <c r="I28" s="12">
        <v>47000000</v>
      </c>
      <c r="J28" s="12">
        <v>12210000</v>
      </c>
    </row>
    <row r="29" spans="1:10" ht="18" customHeight="1" x14ac:dyDescent="0.25">
      <c r="A29" s="14">
        <v>3</v>
      </c>
      <c r="B29" s="14" t="s">
        <v>784</v>
      </c>
      <c r="C29" s="14">
        <v>22</v>
      </c>
      <c r="D29" s="14">
        <v>150</v>
      </c>
      <c r="E29" s="14" t="s">
        <v>782</v>
      </c>
      <c r="F29" s="8" t="s">
        <v>751</v>
      </c>
      <c r="G29" s="10">
        <v>84500000</v>
      </c>
      <c r="H29" s="15">
        <v>61500000</v>
      </c>
      <c r="I29" s="15">
        <v>47000000</v>
      </c>
      <c r="J29" s="15">
        <v>13600000</v>
      </c>
    </row>
    <row r="30" spans="1:10" ht="18" customHeight="1" x14ac:dyDescent="0.25">
      <c r="A30" s="8">
        <v>3</v>
      </c>
      <c r="B30" s="8" t="s">
        <v>785</v>
      </c>
      <c r="C30" s="8">
        <v>30</v>
      </c>
      <c r="D30" s="8">
        <v>150</v>
      </c>
      <c r="E30" s="14" t="s">
        <v>782</v>
      </c>
      <c r="F30" s="8" t="s">
        <v>751</v>
      </c>
      <c r="G30" s="10">
        <v>88500000</v>
      </c>
      <c r="H30" s="12">
        <v>65360000</v>
      </c>
      <c r="I30" s="12">
        <v>47000000</v>
      </c>
      <c r="J30" s="12">
        <v>17460000</v>
      </c>
    </row>
    <row r="31" spans="1:10" ht="18" customHeight="1" x14ac:dyDescent="0.25">
      <c r="A31" s="14">
        <v>4</v>
      </c>
      <c r="B31" s="14" t="s">
        <v>786</v>
      </c>
      <c r="C31" s="14">
        <v>37</v>
      </c>
      <c r="D31" s="14">
        <v>150</v>
      </c>
      <c r="E31" s="14" t="s">
        <v>782</v>
      </c>
      <c r="F31" s="8" t="s">
        <v>751</v>
      </c>
      <c r="G31" s="10">
        <v>94000000</v>
      </c>
      <c r="H31" s="15">
        <v>70400000</v>
      </c>
      <c r="I31" s="15">
        <v>47000000</v>
      </c>
      <c r="J31" s="15">
        <v>22500000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zoomScaleNormal="100" workbookViewId="0">
      <pane ySplit="1" topLeftCell="A2" activePane="bottomLeft" state="frozen"/>
      <selection pane="bottomLeft" activeCell="M16" sqref="M16"/>
    </sheetView>
  </sheetViews>
  <sheetFormatPr defaultColWidth="8.7109375" defaultRowHeight="15" x14ac:dyDescent="0.25"/>
  <cols>
    <col min="1" max="1" width="18" style="29" customWidth="1"/>
    <col min="2" max="2" width="5" style="29" customWidth="1"/>
    <col min="3" max="5" width="24" style="29" customWidth="1"/>
    <col min="6" max="16384" width="8.7109375" style="29"/>
  </cols>
  <sheetData>
    <row r="1" spans="1:5" ht="30" customHeight="1" x14ac:dyDescent="0.25">
      <c r="A1" s="2" t="s">
        <v>787</v>
      </c>
      <c r="B1" s="2" t="s">
        <v>0</v>
      </c>
      <c r="C1" s="2" t="s">
        <v>788</v>
      </c>
      <c r="D1" s="2" t="s">
        <v>789</v>
      </c>
      <c r="E1" s="6" t="s">
        <v>280</v>
      </c>
    </row>
    <row r="2" spans="1:5" ht="18" customHeight="1" x14ac:dyDescent="0.25">
      <c r="A2" s="8" t="s">
        <v>790</v>
      </c>
      <c r="B2" s="8">
        <v>1</v>
      </c>
      <c r="C2" s="8" t="s">
        <v>791</v>
      </c>
      <c r="D2" s="12">
        <v>1850000</v>
      </c>
      <c r="E2" s="12">
        <v>1450000</v>
      </c>
    </row>
    <row r="3" spans="1:5" ht="18" customHeight="1" x14ac:dyDescent="0.25">
      <c r="A3" s="14" t="s">
        <v>790</v>
      </c>
      <c r="B3" s="14">
        <v>2</v>
      </c>
      <c r="C3" s="14" t="s">
        <v>373</v>
      </c>
      <c r="D3" s="15">
        <v>1850000</v>
      </c>
      <c r="E3" s="15">
        <v>1000000</v>
      </c>
    </row>
    <row r="4" spans="1:5" ht="18" customHeight="1" x14ac:dyDescent="0.25">
      <c r="A4" s="8" t="s">
        <v>790</v>
      </c>
      <c r="B4" s="8">
        <v>3</v>
      </c>
      <c r="C4" s="8" t="s">
        <v>409</v>
      </c>
      <c r="D4" s="12">
        <v>2100000</v>
      </c>
      <c r="E4" s="12">
        <v>1250000</v>
      </c>
    </row>
    <row r="5" spans="1:5" ht="18" customHeight="1" x14ac:dyDescent="0.25">
      <c r="A5" s="14" t="s">
        <v>790</v>
      </c>
      <c r="B5" s="8">
        <v>4</v>
      </c>
      <c r="C5" s="14" t="s">
        <v>423</v>
      </c>
      <c r="D5" s="15">
        <v>3500000</v>
      </c>
      <c r="E5" s="15">
        <v>1500000</v>
      </c>
    </row>
    <row r="6" spans="1:5" ht="18" customHeight="1" x14ac:dyDescent="0.25">
      <c r="A6" s="8" t="s">
        <v>790</v>
      </c>
      <c r="B6" s="14">
        <v>5</v>
      </c>
      <c r="C6" s="8" t="s">
        <v>792</v>
      </c>
      <c r="D6" s="12">
        <v>4200000</v>
      </c>
      <c r="E6" s="12">
        <v>2100000</v>
      </c>
    </row>
    <row r="7" spans="1:5" ht="18" customHeight="1" x14ac:dyDescent="0.25">
      <c r="A7" s="14" t="s">
        <v>790</v>
      </c>
      <c r="B7" s="8">
        <v>6</v>
      </c>
      <c r="C7" s="14" t="s">
        <v>793</v>
      </c>
      <c r="D7" s="15">
        <v>9350000</v>
      </c>
      <c r="E7" s="15">
        <v>5500000</v>
      </c>
    </row>
    <row r="8" spans="1:5" ht="18" customHeight="1" x14ac:dyDescent="0.25">
      <c r="A8" s="8" t="s">
        <v>790</v>
      </c>
      <c r="B8" s="8">
        <v>7</v>
      </c>
      <c r="C8" s="8" t="s">
        <v>794</v>
      </c>
      <c r="D8" s="12">
        <v>12000000</v>
      </c>
      <c r="E8" s="12">
        <v>8000000</v>
      </c>
    </row>
    <row r="9" spans="1:5" ht="18" customHeight="1" x14ac:dyDescent="0.25">
      <c r="A9" s="14" t="s">
        <v>795</v>
      </c>
      <c r="B9" s="14">
        <v>8</v>
      </c>
      <c r="C9" s="14" t="s">
        <v>796</v>
      </c>
      <c r="D9" s="15">
        <v>155000</v>
      </c>
      <c r="E9" s="15">
        <v>155000</v>
      </c>
    </row>
    <row r="10" spans="1:5" ht="18" customHeight="1" x14ac:dyDescent="0.25">
      <c r="A10" s="8" t="s">
        <v>795</v>
      </c>
      <c r="B10" s="8">
        <v>9</v>
      </c>
      <c r="C10" s="8" t="s">
        <v>797</v>
      </c>
      <c r="D10" s="12">
        <v>245000</v>
      </c>
      <c r="E10" s="12">
        <v>290000</v>
      </c>
    </row>
    <row r="11" spans="1:5" ht="18" customHeight="1" x14ac:dyDescent="0.25">
      <c r="A11" s="14" t="s">
        <v>795</v>
      </c>
      <c r="B11" s="8">
        <v>10</v>
      </c>
      <c r="C11" s="14" t="s">
        <v>798</v>
      </c>
      <c r="D11" s="15">
        <v>130000</v>
      </c>
      <c r="E11" s="15">
        <v>100000</v>
      </c>
    </row>
    <row r="12" spans="1:5" ht="18" customHeight="1" x14ac:dyDescent="0.25">
      <c r="A12" s="8" t="s">
        <v>795</v>
      </c>
      <c r="B12" s="14">
        <v>11</v>
      </c>
      <c r="C12" s="8" t="s">
        <v>799</v>
      </c>
      <c r="D12" s="12">
        <v>180000</v>
      </c>
      <c r="E12" s="12">
        <v>120000</v>
      </c>
    </row>
    <row r="13" spans="1:5" ht="18" customHeight="1" x14ac:dyDescent="0.25">
      <c r="A13" s="14" t="s">
        <v>800</v>
      </c>
      <c r="B13" s="8">
        <v>12</v>
      </c>
      <c r="C13" s="14" t="s">
        <v>801</v>
      </c>
      <c r="D13" s="15">
        <v>150000</v>
      </c>
      <c r="E13" s="15">
        <v>60000</v>
      </c>
    </row>
    <row r="14" spans="1:5" ht="18" customHeight="1" x14ac:dyDescent="0.25">
      <c r="A14" s="8" t="s">
        <v>802</v>
      </c>
      <c r="B14" s="8">
        <v>13</v>
      </c>
      <c r="C14" s="8" t="s">
        <v>803</v>
      </c>
      <c r="D14" s="12">
        <v>200000</v>
      </c>
      <c r="E14" s="12">
        <v>90000</v>
      </c>
    </row>
    <row r="15" spans="1:5" ht="18" customHeight="1" x14ac:dyDescent="0.25">
      <c r="A15" s="14" t="s">
        <v>804</v>
      </c>
      <c r="B15" s="14">
        <v>14</v>
      </c>
      <c r="C15" s="14" t="s">
        <v>805</v>
      </c>
      <c r="D15" s="15">
        <v>650000</v>
      </c>
      <c r="E15" s="15">
        <v>432870</v>
      </c>
    </row>
    <row r="16" spans="1:5" ht="18" customHeight="1" x14ac:dyDescent="0.25">
      <c r="A16" s="8" t="s">
        <v>806</v>
      </c>
      <c r="B16" s="8">
        <v>15</v>
      </c>
      <c r="C16" s="8" t="s">
        <v>807</v>
      </c>
      <c r="D16" s="12">
        <v>850000</v>
      </c>
      <c r="E16" s="12">
        <v>630000</v>
      </c>
    </row>
    <row r="17" spans="1:5" ht="18" customHeight="1" x14ac:dyDescent="0.25">
      <c r="A17" s="14" t="s">
        <v>808</v>
      </c>
      <c r="B17" s="8">
        <v>16</v>
      </c>
      <c r="C17" s="14" t="s">
        <v>809</v>
      </c>
      <c r="D17" s="15">
        <v>1100000</v>
      </c>
      <c r="E17" s="15">
        <v>708333</v>
      </c>
    </row>
    <row r="18" spans="1:5" ht="18" customHeight="1" x14ac:dyDescent="0.25">
      <c r="A18" s="8" t="s">
        <v>810</v>
      </c>
      <c r="B18" s="14">
        <v>17</v>
      </c>
      <c r="C18" s="8" t="s">
        <v>811</v>
      </c>
      <c r="D18" s="12">
        <v>1500000</v>
      </c>
      <c r="E18" s="12">
        <v>1062500</v>
      </c>
    </row>
    <row r="19" spans="1:5" ht="18" customHeight="1" x14ac:dyDescent="0.25">
      <c r="A19" s="14" t="s">
        <v>812</v>
      </c>
      <c r="B19" s="8">
        <v>18</v>
      </c>
      <c r="C19" s="14" t="s">
        <v>813</v>
      </c>
      <c r="D19" s="15">
        <v>2300000</v>
      </c>
      <c r="E19" s="15">
        <v>1771000</v>
      </c>
    </row>
    <row r="20" spans="1:5" ht="18" customHeight="1" x14ac:dyDescent="0.25">
      <c r="A20" s="8" t="s">
        <v>814</v>
      </c>
      <c r="B20" s="8">
        <v>19</v>
      </c>
      <c r="C20" s="8" t="s">
        <v>815</v>
      </c>
      <c r="D20" s="12">
        <v>4000000</v>
      </c>
      <c r="E20" s="12">
        <v>3300000</v>
      </c>
    </row>
    <row r="21" spans="1:5" ht="18" customHeight="1" x14ac:dyDescent="0.25">
      <c r="A21" s="14" t="s">
        <v>816</v>
      </c>
      <c r="B21" s="14">
        <v>20</v>
      </c>
      <c r="C21" s="14" t="s">
        <v>817</v>
      </c>
      <c r="D21" s="15">
        <v>250000</v>
      </c>
      <c r="E21" s="15">
        <v>153000</v>
      </c>
    </row>
    <row r="22" spans="1:5" ht="18" customHeight="1" x14ac:dyDescent="0.25">
      <c r="A22" s="8" t="s">
        <v>818</v>
      </c>
      <c r="B22" s="8">
        <v>21</v>
      </c>
      <c r="C22" s="8" t="s">
        <v>819</v>
      </c>
      <c r="D22" s="12">
        <v>300000</v>
      </c>
      <c r="E22" s="8"/>
    </row>
    <row r="23" spans="1:5" ht="18" customHeight="1" x14ac:dyDescent="0.25">
      <c r="A23" s="14" t="s">
        <v>820</v>
      </c>
      <c r="B23" s="8">
        <v>22</v>
      </c>
      <c r="C23" s="14" t="s">
        <v>821</v>
      </c>
      <c r="D23" s="15">
        <v>400000</v>
      </c>
      <c r="E23" s="15">
        <v>245000</v>
      </c>
    </row>
    <row r="24" spans="1:5" ht="18" customHeight="1" x14ac:dyDescent="0.25">
      <c r="A24" s="8" t="s">
        <v>822</v>
      </c>
      <c r="B24" s="14">
        <v>23</v>
      </c>
      <c r="C24" s="8" t="s">
        <v>823</v>
      </c>
      <c r="D24" s="12">
        <v>550000</v>
      </c>
      <c r="E24" s="12">
        <v>340000</v>
      </c>
    </row>
    <row r="25" spans="1:5" ht="18" customHeight="1" x14ac:dyDescent="0.25">
      <c r="A25" s="14" t="s">
        <v>824</v>
      </c>
      <c r="B25" s="8">
        <v>24</v>
      </c>
      <c r="C25" s="14" t="s">
        <v>825</v>
      </c>
      <c r="D25" s="15">
        <v>800000</v>
      </c>
      <c r="E25" s="15">
        <v>580000</v>
      </c>
    </row>
    <row r="26" spans="1:5" ht="18" customHeight="1" x14ac:dyDescent="0.25">
      <c r="A26" s="8" t="s">
        <v>826</v>
      </c>
      <c r="B26" s="8">
        <v>25</v>
      </c>
      <c r="C26" s="8" t="s">
        <v>827</v>
      </c>
      <c r="D26" s="12">
        <v>1800000</v>
      </c>
      <c r="E26" s="12">
        <v>1250000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Giếng nhựa</vt:lpstr>
      <vt:lpstr>Giếng inox</vt:lpstr>
      <vt:lpstr>thải Perotac</vt:lpstr>
      <vt:lpstr>thải Inox</vt:lpstr>
      <vt:lpstr>Con sò</vt:lpstr>
      <vt:lpstr>trục đứng</vt:lpstr>
      <vt:lpstr>Trục đứng Inline</vt:lpstr>
      <vt:lpstr>Trục ngang</vt:lpstr>
      <vt:lpstr>Trục ngang inox</vt:lpstr>
      <vt:lpstr>DWO CDX</vt:lpstr>
      <vt:lpstr>KTZ</vt:lpstr>
      <vt:lpstr>Khuấy</vt:lpstr>
      <vt:lpstr>Định lượng</vt:lpstr>
      <vt:lpstr>ROOT</vt:lpstr>
      <vt:lpstr>Phụ kiện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H2</cp:lastModifiedBy>
  <cp:revision>0</cp:revision>
  <dcterms:created xsi:type="dcterms:W3CDTF">2026-06-30T07:44:06Z</dcterms:created>
  <dcterms:modified xsi:type="dcterms:W3CDTF">2026-10-05T08:54:01Z</dcterms:modified>
  <dc:language>en-US</dc:language>
</cp:coreProperties>
</file>