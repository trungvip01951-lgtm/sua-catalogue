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0" windowHeight="8190" tabRatio="764" firstSheet="0" activeTab="2" autoFilterDateGrouping="1"/>
  </bookViews>
  <sheets>
    <sheet xmlns:r="http://schemas.openxmlformats.org/officeDocument/2006/relationships" name="CAN ANH XEM" sheetId="1" state="visible" r:id="rId1"/>
    <sheet xmlns:r="http://schemas.openxmlformats.org/officeDocument/2006/relationships" name="Giếng nhựa" sheetId="2" state="visible" r:id="rId2"/>
    <sheet xmlns:r="http://schemas.openxmlformats.org/officeDocument/2006/relationships" name="Giếng inox" sheetId="3" state="visible" r:id="rId3"/>
    <sheet xmlns:r="http://schemas.openxmlformats.org/officeDocument/2006/relationships" name="thải Perotac" sheetId="4" state="visible" r:id="rId4"/>
    <sheet xmlns:r="http://schemas.openxmlformats.org/officeDocument/2006/relationships" name="thải Inox" sheetId="5" state="visible" r:id="rId5"/>
    <sheet xmlns:r="http://schemas.openxmlformats.org/officeDocument/2006/relationships" name="Con sò" sheetId="6" state="visible" r:id="rId6"/>
    <sheet xmlns:r="http://schemas.openxmlformats.org/officeDocument/2006/relationships" name="trục đứng" sheetId="7" state="visible" r:id="rId7"/>
    <sheet xmlns:r="http://schemas.openxmlformats.org/officeDocument/2006/relationships" name="Trục đứng Inline" sheetId="8" state="visible" r:id="rId8"/>
    <sheet xmlns:r="http://schemas.openxmlformats.org/officeDocument/2006/relationships" name="Trục ngang" sheetId="9" state="visible" r:id="rId9"/>
    <sheet xmlns:r="http://schemas.openxmlformats.org/officeDocument/2006/relationships" name="Trục ngang inox" sheetId="10" state="visible" r:id="rId10"/>
    <sheet xmlns:r="http://schemas.openxmlformats.org/officeDocument/2006/relationships" name="Trục ngang MHI" sheetId="11" state="visible" r:id="rId11"/>
    <sheet xmlns:r="http://schemas.openxmlformats.org/officeDocument/2006/relationships" name="DWO CDX" sheetId="12" state="visible" r:id="rId12"/>
    <sheet xmlns:r="http://schemas.openxmlformats.org/officeDocument/2006/relationships" name="KTZ" sheetId="13" state="visible" r:id="rId13"/>
    <sheet xmlns:r="http://schemas.openxmlformats.org/officeDocument/2006/relationships" name="Khuấy" sheetId="14" state="visible" r:id="rId14"/>
    <sheet xmlns:r="http://schemas.openxmlformats.org/officeDocument/2006/relationships" name="Định lượng" sheetId="15" state="visible" r:id="rId15"/>
    <sheet xmlns:r="http://schemas.openxmlformats.org/officeDocument/2006/relationships" name="ROOT" sheetId="16" state="visible" r:id="rId16"/>
    <sheet xmlns:r="http://schemas.openxmlformats.org/officeDocument/2006/relationships" name="Phụ kiện" sheetId="17" state="visible" r:id="rId17"/>
    <sheet xmlns:r="http://schemas.openxmlformats.org/officeDocument/2006/relationships" name="NHAT KY THAY DOI" sheetId="18" state="visible" r:id="rId18"/>
  </sheets>
  <definedNames>
    <definedName name="_xlnm._FilterDatabase" localSheetId="17" hidden="1">'NHAT KY THAY DOI'!$A$1:$G$295</definedName>
  </definedNames>
  <calcPr calcId="152511" fullCalcOnLoad="1"/>
</workbook>
</file>

<file path=xl/styles.xml><?xml version="1.0" encoding="utf-8"?>
<styleSheet xmlns="http://schemas.openxmlformats.org/spreadsheetml/2006/main">
  <numFmts count="1">
    <numFmt numFmtId="164" formatCode="_-* #,##0_-;\-* #,##0_-;_-* \-??_-;_-@_-"/>
  </numFmts>
  <fonts count="9">
    <font>
      <name val="Calibri"/>
      <charset val="1"/>
      <family val="2"/>
      <color theme="1"/>
      <sz val="11"/>
    </font>
    <font>
      <name val="Arial"/>
      <charset val="1"/>
      <family val="2"/>
      <b val="1"/>
      <color rgb="FFFFFFFF"/>
      <sz val="10"/>
    </font>
    <font>
      <name val="Arial"/>
      <charset val="1"/>
      <b val="1"/>
      <color rgb="FF808080"/>
      <sz val="10"/>
    </font>
    <font>
      <name val="Arial"/>
      <charset val="1"/>
      <family val="2"/>
      <sz val="10"/>
    </font>
    <font>
      <name val="Arial"/>
      <charset val="1"/>
      <sz val="10"/>
    </font>
    <font>
      <name val="Arial"/>
      <charset val="1"/>
      <color rgb="FF808080"/>
      <sz val="10"/>
    </font>
    <font>
      <name val="Arial"/>
      <charset val="1"/>
      <family val="2"/>
      <b val="1"/>
      <color rgb="FF1E4D00"/>
      <sz val="10"/>
    </font>
    <font>
      <b val="1"/>
      <color rgb="00FFFFFF"/>
    </font>
    <font>
      <b val="1"/>
    </font>
  </fonts>
  <fills count="22">
    <fill>
      <patternFill/>
    </fill>
    <fill>
      <patternFill patternType="gray125"/>
    </fill>
    <fill>
      <patternFill patternType="solid">
        <fgColor rgb="FF1F4E78"/>
        <bgColor rgb="FF003366"/>
      </patternFill>
    </fill>
    <fill>
      <patternFill patternType="solid">
        <fgColor rgb="FFC00000"/>
        <bgColor rgb="FF800000"/>
      </patternFill>
    </fill>
    <fill>
      <patternFill patternType="solid">
        <fgColor rgb="FFFF6600"/>
        <bgColor rgb="FFFF9900"/>
      </patternFill>
    </fill>
    <fill>
      <patternFill patternType="solid">
        <fgColor rgb="FF0070C0"/>
        <bgColor rgb="FF008080"/>
      </patternFill>
    </fill>
    <fill>
      <patternFill patternType="solid">
        <fgColor rgb="FF375623"/>
        <bgColor rgb="FF1E4D00"/>
      </patternFill>
    </fill>
    <fill>
      <patternFill patternType="solid">
        <fgColor rgb="FFFFFFFF"/>
        <bgColor rgb="FFEAF1FA"/>
      </patternFill>
    </fill>
    <fill>
      <patternFill patternType="solid">
        <fgColor rgb="FFFFD7D0"/>
        <bgColor rgb="FFFFE5CC"/>
      </patternFill>
    </fill>
    <fill>
      <patternFill patternType="solid">
        <fgColor rgb="FFFFE5CC"/>
        <bgColor rgb="FFFFD7D0"/>
      </patternFill>
    </fill>
    <fill>
      <patternFill patternType="solid">
        <fgColor rgb="FFCCE5FF"/>
        <bgColor rgb="FFC6EFCE"/>
      </patternFill>
    </fill>
    <fill>
      <patternFill patternType="solid">
        <fgColor rgb="FFEAF1FA"/>
        <bgColor rgb="FFFFFFFF"/>
      </patternFill>
    </fill>
    <fill>
      <patternFill patternType="solid">
        <fgColor rgb="FFC6EFCE"/>
        <bgColor rgb="FFCCE5FF"/>
      </patternFill>
    </fill>
    <fill>
      <patternFill patternType="solid">
        <fgColor rgb="FF92D050"/>
        <bgColor rgb="FFB7B7B7"/>
      </patternFill>
    </fill>
    <fill>
      <patternFill patternType="solid">
        <fgColor rgb="FFFFFF00"/>
        <bgColor rgb="FFFFFF00"/>
      </patternFill>
    </fill>
    <fill>
      <patternFill patternType="solid">
        <fgColor rgb="FFCCE5FF"/>
        <bgColor rgb="FFEAF1FA"/>
      </patternFill>
    </fill>
    <fill>
      <patternFill patternType="solid">
        <fgColor rgb="00DDEBF7"/>
      </patternFill>
    </fill>
    <fill>
      <patternFill patternType="solid">
        <fgColor rgb="00FFF2CC"/>
      </patternFill>
    </fill>
    <fill>
      <patternFill patternType="solid">
        <fgColor rgb="00FCE4D6"/>
      </patternFill>
    </fill>
    <fill>
      <patternFill patternType="solid">
        <fgColor rgb="00E2EFDA"/>
      </patternFill>
    </fill>
    <fill>
      <patternFill patternType="solid">
        <fgColor rgb="00305496"/>
      </patternFill>
    </fill>
    <fill>
      <patternFill patternType="solid">
        <fgColor rgb="00C00000"/>
      </patternFill>
    </fill>
  </fills>
  <borders count="5">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1">
    <xf numFmtId="0" fontId="0" fillId="0" borderId="0"/>
  </cellStyleXfs>
  <cellXfs count="62">
    <xf numFmtId="0" fontId="0" fillId="0" borderId="0" pivotButton="0" quotePrefix="0" xfId="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2" fillId="0" borderId="0" applyAlignment="1" pivotButton="0" quotePrefix="0" xfId="0">
      <alignment horizontal="center" vertical="center" wrapText="1"/>
    </xf>
    <xf numFmtId="0" fontId="3" fillId="7" borderId="1" applyAlignment="1" pivotButton="0" quotePrefix="0" xfId="0">
      <alignment horizontal="center" vertical="center" wrapText="1"/>
    </xf>
    <xf numFmtId="3" fontId="3" fillId="8" borderId="1" applyAlignment="1" pivotButton="0" quotePrefix="0" xfId="0">
      <alignment horizontal="center" vertical="center" wrapText="1"/>
    </xf>
    <xf numFmtId="3" fontId="3" fillId="9" borderId="1" applyAlignment="1" pivotButton="0" quotePrefix="0" xfId="0">
      <alignment horizontal="center" vertical="center" wrapText="1"/>
    </xf>
    <xf numFmtId="3" fontId="4" fillId="10" borderId="1" applyAlignment="1" pivotButton="0" quotePrefix="0" xfId="0">
      <alignment horizontal="center" vertical="center" wrapText="1"/>
    </xf>
    <xf numFmtId="3" fontId="3" fillId="7" borderId="1" applyAlignment="1" pivotButton="0" quotePrefix="0" xfId="0">
      <alignment horizontal="center" vertical="center" wrapText="1"/>
    </xf>
    <xf numFmtId="3" fontId="5" fillId="0" borderId="0" pivotButton="0" quotePrefix="0" xfId="0"/>
    <xf numFmtId="0" fontId="3" fillId="11" borderId="1" applyAlignment="1" pivotButton="0" quotePrefix="0" xfId="0">
      <alignment horizontal="center" vertical="center" wrapText="1"/>
    </xf>
    <xf numFmtId="3" fontId="3" fillId="11" borderId="1" applyAlignment="1" pivotButton="0" quotePrefix="0" xfId="0">
      <alignment horizontal="center" vertical="center" wrapText="1"/>
    </xf>
    <xf numFmtId="3" fontId="3" fillId="12"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3" fontId="3" fillId="10" borderId="1" applyAlignment="1" pivotButton="0" quotePrefix="0" xfId="0">
      <alignment horizontal="center" vertical="center" wrapText="1"/>
    </xf>
    <xf numFmtId="3" fontId="6" fillId="13" borderId="1" applyAlignment="1" pivotButton="0" quotePrefix="0" xfId="0">
      <alignment horizontal="center" vertical="center" wrapText="1"/>
    </xf>
    <xf numFmtId="164" fontId="3" fillId="8" borderId="1" applyAlignment="1" pivotButton="0" quotePrefix="0" xfId="0">
      <alignment horizontal="center" vertical="center" wrapText="1"/>
    </xf>
    <xf numFmtId="164" fontId="3" fillId="9" borderId="1" applyAlignment="1" pivotButton="0" quotePrefix="0" xfId="0">
      <alignment horizontal="center" vertical="center" wrapText="1"/>
    </xf>
    <xf numFmtId="164" fontId="3" fillId="10" borderId="1" applyAlignment="1" pivotButton="0" quotePrefix="0" xfId="0">
      <alignment horizontal="center" vertical="center" wrapText="1"/>
    </xf>
    <xf numFmtId="164" fontId="3" fillId="0" borderId="0" pivotButton="0" quotePrefix="0" xfId="0"/>
    <xf numFmtId="164" fontId="1" fillId="3" borderId="1" applyAlignment="1" pivotButton="0" quotePrefix="0" xfId="0">
      <alignment horizontal="center" vertical="center" wrapText="1"/>
    </xf>
    <xf numFmtId="164" fontId="1" fillId="4" borderId="1" applyAlignment="1" pivotButton="0" quotePrefix="0" xfId="0">
      <alignment horizontal="center" vertical="center" wrapText="1"/>
    </xf>
    <xf numFmtId="164" fontId="1" fillId="5" borderId="1" applyAlignment="1" pivotButton="0" quotePrefix="0" xfId="0">
      <alignment horizontal="center" vertical="center" wrapText="1"/>
    </xf>
    <xf numFmtId="3" fontId="6" fillId="0" borderId="1" applyAlignment="1" pivotButton="0" quotePrefix="0" xfId="0">
      <alignment horizontal="center" vertical="center" wrapText="1"/>
    </xf>
    <xf numFmtId="0" fontId="0" fillId="0" borderId="0" applyAlignment="1" pivotButton="0" quotePrefix="0" xfId="0">
      <alignment horizontal="center"/>
    </xf>
    <xf numFmtId="164" fontId="0" fillId="0" borderId="0" applyAlignment="1" pivotButton="0" quotePrefix="0" xfId="0">
      <alignment horizontal="center"/>
    </xf>
    <xf numFmtId="164" fontId="1" fillId="6" borderId="1" applyAlignment="1" pivotButton="0" quotePrefix="0" xfId="0">
      <alignment horizontal="center" vertical="center" wrapText="1"/>
    </xf>
    <xf numFmtId="164" fontId="1" fillId="2" borderId="1" applyAlignment="1" pivotButton="0" quotePrefix="0" xfId="0">
      <alignment horizontal="center" vertical="center" wrapText="1"/>
    </xf>
    <xf numFmtId="164" fontId="3" fillId="7" borderId="1" applyAlignment="1" pivotButton="0" quotePrefix="0" xfId="0">
      <alignment horizontal="center" vertical="center" wrapText="1"/>
    </xf>
    <xf numFmtId="164" fontId="3" fillId="13" borderId="1" applyAlignment="1" pivotButton="0" quotePrefix="0" xfId="0">
      <alignment horizontal="center" vertical="center" wrapText="1"/>
    </xf>
    <xf numFmtId="164" fontId="3" fillId="11" borderId="1" applyAlignment="1" pivotButton="0" quotePrefix="0" xfId="0">
      <alignment horizontal="center" vertical="center" wrapText="1"/>
    </xf>
    <xf numFmtId="0" fontId="3" fillId="8" borderId="1" applyAlignment="1" pivotButton="0" quotePrefix="0" xfId="0">
      <alignment horizontal="center" vertical="center" wrapText="1"/>
    </xf>
    <xf numFmtId="3" fontId="3" fillId="15" borderId="1" applyAlignment="1" pivotButton="0" quotePrefix="0" xfId="0">
      <alignment horizontal="center" vertical="center" wrapText="1"/>
    </xf>
    <xf numFmtId="0" fontId="3" fillId="11" borderId="1" applyAlignment="1" pivotButton="0" quotePrefix="0" xfId="0">
      <alignment horizontal="center" vertical="center" textRotation="90" wrapText="1"/>
    </xf>
    <xf numFmtId="0" fontId="3" fillId="7" borderId="1" applyAlignment="1" pivotButton="0" quotePrefix="0" xfId="0">
      <alignment horizontal="center" vertical="center" textRotation="90" wrapText="1"/>
    </xf>
    <xf numFmtId="164" fontId="3" fillId="7" borderId="1" applyAlignment="1" pivotButton="0" quotePrefix="0" xfId="0">
      <alignment horizontal="center" vertical="center" textRotation="90" wrapText="1"/>
    </xf>
    <xf numFmtId="0" fontId="0" fillId="14" borderId="2" applyAlignment="1" pivotButton="0" quotePrefix="0" xfId="0">
      <alignment horizontal="center" wrapText="1"/>
    </xf>
    <xf numFmtId="0" fontId="1" fillId="16" borderId="1" applyAlignment="1" pivotButton="0" quotePrefix="0" xfId="0">
      <alignment horizontal="center" vertical="center" wrapText="1"/>
    </xf>
    <xf numFmtId="0" fontId="3" fillId="17" borderId="1" applyAlignment="1" pivotButton="0" quotePrefix="0" xfId="0">
      <alignment horizontal="center" vertical="center" wrapText="1"/>
    </xf>
    <xf numFmtId="0" fontId="3" fillId="18" borderId="1" applyAlignment="1" pivotButton="0" quotePrefix="0" xfId="0">
      <alignment horizontal="center" vertical="center" wrapText="1"/>
    </xf>
    <xf numFmtId="0" fontId="0" fillId="0" borderId="4" pivotButton="0" quotePrefix="0" xfId="0"/>
    <xf numFmtId="0" fontId="0" fillId="0" borderId="3" pivotButton="0" quotePrefix="0" xfId="0"/>
    <xf numFmtId="3" fontId="3" fillId="17" borderId="1" applyAlignment="1" pivotButton="0" quotePrefix="0" xfId="0">
      <alignment horizontal="center" vertical="center" wrapText="1"/>
    </xf>
    <xf numFmtId="0" fontId="0" fillId="0" borderId="2" pivotButton="0" quotePrefix="0" xfId="0"/>
    <xf numFmtId="0" fontId="3" fillId="19" borderId="1" applyAlignment="1" pivotButton="0" quotePrefix="0" xfId="0">
      <alignment horizontal="center" vertical="center" wrapText="1"/>
    </xf>
    <xf numFmtId="3" fontId="3" fillId="19" borderId="1" applyAlignment="1" pivotButton="0" quotePrefix="0" xfId="0">
      <alignment horizontal="center" vertical="center" wrapText="1"/>
    </xf>
    <xf numFmtId="3" fontId="6" fillId="19" borderId="1" applyAlignment="1" pivotButton="0" quotePrefix="0" xfId="0">
      <alignment horizontal="center" vertical="center" wrapText="1"/>
    </xf>
    <xf numFmtId="164" fontId="3" fillId="19" borderId="1" applyAlignment="1" pivotButton="0" quotePrefix="0" xfId="0">
      <alignment horizontal="center" vertical="center" wrapText="1"/>
    </xf>
    <xf numFmtId="0" fontId="0" fillId="19" borderId="0" pivotButton="0" quotePrefix="0" xfId="0"/>
    <xf numFmtId="0" fontId="7" fillId="20" borderId="0" applyAlignment="1" pivotButton="0" quotePrefix="0" xfId="0">
      <alignment vertical="center" wrapText="1"/>
    </xf>
    <xf numFmtId="0" fontId="0" fillId="0" borderId="0" applyAlignment="1" pivotButton="0" quotePrefix="0" xfId="0">
      <alignment vertical="top" wrapText="1"/>
    </xf>
    <xf numFmtId="0" fontId="7" fillId="21" borderId="0" applyAlignment="1" pivotButton="0" quotePrefix="0" xfId="0">
      <alignment vertical="center" wrapText="1"/>
    </xf>
    <xf numFmtId="0" fontId="8" fillId="0" borderId="0" pivotButton="0" quotePrefix="0" xfId="0"/>
    <xf numFmtId="0" fontId="0" fillId="17" borderId="0" pivotButton="0" quotePrefix="0" xfId="0"/>
    <xf numFmtId="0" fontId="0" fillId="18" borderId="0" pivotButton="0" quotePrefix="0" xfId="0"/>
    <xf numFmtId="0" fontId="0" fillId="16"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E5CC"/>
      <rgbColor rgb="FFEAF1FA"/>
      <rgbColor rgb="FF660066"/>
      <rgbColor rgb="FFFF8080"/>
      <rgbColor rgb="FF0070C0"/>
      <rgbColor rgb="FFCCE5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D7D0"/>
      <rgbColor rgb="FF3366FF"/>
      <rgbColor rgb="FF33CCCC"/>
      <rgbColor rgb="FF92D050"/>
      <rgbColor rgb="FFFFCC00"/>
      <rgbColor rgb="FFFF9900"/>
      <rgbColor rgb="FFFF6600"/>
      <rgbColor rgb="FF666699"/>
      <rgbColor rgb="FF969696"/>
      <rgbColor rgb="FF003366"/>
      <rgbColor rgb="FF339966"/>
      <rgbColor rgb="FF003300"/>
      <rgbColor rgb="FF1E4D00"/>
      <rgbColor rgb="FF993300"/>
      <rgbColor rgb="FF993366"/>
      <rgbColor rgb="FF1F4E78"/>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 customWidth="1" style="1" min="1" max="1"/>
    <col width="16" customWidth="1" style="1" min="2" max="2"/>
    <col width="40" customWidth="1" style="1" min="3" max="3"/>
    <col width="40" customWidth="1" style="1" min="4" max="4"/>
    <col width="48" customWidth="1" style="1" min="5" max="5"/>
    <col width="48" customWidth="1" style="1" min="6" max="6"/>
    <col width="12" customWidth="1" style="1" min="7" max="7"/>
  </cols>
  <sheetData>
    <row r="1">
      <c r="A1" s="56" t="inlineStr">
        <is>
          <t>STT</t>
        </is>
      </c>
      <c r="B1" s="56" t="inlineStr">
        <is>
          <t>Trang tính</t>
        </is>
      </c>
      <c r="C1" s="56" t="inlineStr">
        <is>
          <t>Mã</t>
        </is>
      </c>
      <c r="D1" s="56" t="inlineStr">
        <is>
          <t>Hiện trạng</t>
        </is>
      </c>
      <c r="E1" s="56" t="inlineStr">
        <is>
          <t>Dẫn chứng</t>
        </is>
      </c>
      <c r="F1" s="56" t="inlineStr">
        <is>
          <t>Lựa chọn</t>
        </is>
      </c>
      <c r="G1" s="56" t="inlineStr">
        <is>
          <t>Đề xuất của em</t>
        </is>
      </c>
    </row>
    <row r="2">
      <c r="A2" s="55" t="n">
        <v>1</v>
      </c>
      <c r="B2" s="55" t="inlineStr">
        <is>
          <t>Trục đứng Inline</t>
        </is>
      </c>
      <c r="C2" s="55" t="inlineStr">
        <is>
          <t>28 mã: IRG50-100/0.75, IRG50-125/1.1, IRG65-100/1.5, IRG50-160/2.2, IRG80-100/2.2, IRG65-125/3, IRG80-100/3, IRG65-160/4, IRG80-125/4, IRG100-100/4, IRG40-250/5.5, IRG100-100/5.5, IRG100-125/7.5, IRG65-250/11, IRG80-200/11, IRG100-160/11, IRG150-125/11, IRG200-250/15, IRG150-125/15, IRG150-160/18.5, IRG200-250/18.5, IRG150-160/22, IRG200-315/22, IRG150-200/30, IRG200-315/30, IRG150-200/37, IRG200-400/37, IRG200-400/45</t>
        </is>
      </c>
      <c r="D2" s="55" t="inlineStr">
        <is>
          <t>Không có trong catalogue IRG đã duyệt (206 mã, giống nhau ở 3 hãng). Đang giữ nguyên thông số cũ, tô đỏ ở cột Ghi chú.</t>
        </is>
      </c>
      <c r="E2" s="55" t="inlineStr">
        <is>
          <t>2 mã gần trùng: IRG200-400/45 ↔ IRG200-400/45-4 và IRG200-250/18.5 ↔ IRG200-250/18.5-4 (đuôi -4 = bơm 4 cực theo catalogue; công suất trùng 18,5 kW và 45 kW). 26 mã còn lại catalogue không có cỡ nào cùng mã.</t>
        </is>
      </c>
      <c r="F2" s="55" t="inlineStr">
        <is>
          <t>1) Giữ nguyên như hiện tại. 2) Ghép 2 mã gần trùng vào mã -4 rồi lấy thông số catalogue, 26 mã còn lại giữ. 3) Xoá các dòng không còn trong catalogue.</t>
        </is>
      </c>
      <c r="G2" s="55" t="inlineStr">
        <is>
          <t>2</t>
        </is>
      </c>
    </row>
    <row r="3">
      <c r="A3" s="55" t="n">
        <v>2</v>
      </c>
      <c r="B3" s="55" t="inlineStr">
        <is>
          <t>Giếng nhựa, Trục ngang</t>
        </is>
      </c>
      <c r="C3" s="55" t="inlineStr">
        <is>
          <t>50 dòng: 44 mã SA (2SSm…, 2.5SSm…, 3SSm…, 4SA4/10…, 6SA35…, 6SA45…) và 6 mã CM (CM32-160/3.0, CM32-250/9.2, CM40-250/9.2, CM40-250/18.5, CM80-250/37, CM80-250/45)</t>
        </is>
      </c>
      <c r="D3" s="55" t="inlineStr">
        <is>
          <t>Có giá bán AQUARIS nhưng catalogue AQUARIS đã duyệt không có mã này (cột 'Có trong catalogue AQUARIS' = Không có).</t>
        </is>
      </c>
      <c r="E3" s="55" t="inlineStr">
        <is>
          <t>Catalogue AQUARIS SA chỉ có 68 mã 4 inch, không có dải 2/2.5/3 inch và 6 inch; catalogue AQUARIS CM có 66 mã (thiếu 24 mã so với PEROTAC/REDPUMP).</t>
        </is>
      </c>
      <c r="F3" s="55" t="inlineStr">
        <is>
          <t>1) Giữ giá AQUARIS (bán theo thông số PEROTAC). 2) Đổi giá AQUARIS thành 'ko có' như trang Định lượng. 3) Bổ sung các mã này vào catalogue AQUARIS.</t>
        </is>
      </c>
      <c r="G3" s="55" t="inlineStr">
        <is>
          <t>1</t>
        </is>
      </c>
    </row>
    <row r="4">
      <c r="A4" s="55" t="n">
        <v>3</v>
      </c>
      <c r="B4" s="55" t="inlineStr">
        <is>
          <t>thải Inox</t>
        </is>
      </c>
      <c r="C4" s="55" t="inlineStr">
        <is>
          <t>FS300/50M</t>
        </is>
      </c>
      <c r="D4" s="55" t="inlineStr">
        <is>
          <t>Không có trong catalogue FS AQUARIS.</t>
        </is>
      </c>
      <c r="E4" s="55" t="inlineStr">
        <is>
          <t>Catalogue chỉ có FS 300/80T và FS 300/80M (2,2 kW). Bảng giá có cả FS300/50M và FS300/80T → có thể gõ nhầm 50 thành 80.</t>
        </is>
      </c>
      <c r="F4" s="55" t="inlineStr">
        <is>
          <t>1) Đổi mã thành FS300/80M và lấy thông số catalogue. 2) Giữ nguyên.</t>
        </is>
      </c>
      <c r="G4" s="55" t="inlineStr">
        <is>
          <t>1</t>
        </is>
      </c>
    </row>
    <row r="5">
      <c r="A5" s="55" t="n">
        <v>4</v>
      </c>
      <c r="B5" s="55" t="inlineStr">
        <is>
          <t>thải Perotac</t>
        </is>
      </c>
      <c r="C5" s="55" t="inlineStr">
        <is>
          <t>200WC150-15-11 (dòng 69); 150WC150-25-15 xuất hiện 2 lần (dòng 68 và 70)</t>
        </is>
      </c>
      <c r="D5" s="55" t="inlineStr">
        <is>
          <t>Catalogue không có 200WC150-15-11, chỉ có 150WC150-15-11 (đã có ở dòng 67).</t>
        </is>
      </c>
      <c r="E5" s="55" t="inlineStr">
        <is>
          <t>Dòng 69 trùng giá và thông số với dòng 67; dòng 70 trùng hệt dòng 68.</t>
        </is>
      </c>
      <c r="F5" s="55" t="inlineStr">
        <is>
          <t>1) Xoá 2 dòng trùng 69 và 70. 2) Giữ nguyên.</t>
        </is>
      </c>
      <c r="G5" s="55" t="inlineStr">
        <is>
          <t>1</t>
        </is>
      </c>
    </row>
    <row r="6">
      <c r="A6" s="55" t="n">
        <v>5</v>
      </c>
      <c r="B6" s="55" t="inlineStr">
        <is>
          <t>thải Perotac</t>
        </is>
      </c>
      <c r="C6" s="55" t="inlineStr">
        <is>
          <t>50WC10-10-0.75, 50WC12-10-1.1, 100WC100-40-18.5</t>
        </is>
      </c>
      <c r="D6" s="55" t="inlineStr">
        <is>
          <t>Không có trong catalogue WC đã duyệt (49 mã).</t>
        </is>
      </c>
      <c r="E6" s="55" t="inlineStr">
        <is>
          <t>Catalogue WC nhỏ nhất là 50WC15-15-1.5; dải 100WC không có mã 18.5 kW.</t>
        </is>
      </c>
      <c r="F6" s="55" t="inlineStr">
        <is>
          <t>1) Giữ nguyên, ghi là hàng ngoài catalogue. 2) Xoá.</t>
        </is>
      </c>
      <c r="G6" s="55" t="inlineStr">
        <is>
          <t>1</t>
        </is>
      </c>
    </row>
    <row r="7">
      <c r="A7" s="55" t="n">
        <v>6</v>
      </c>
      <c r="B7" s="55" t="inlineStr">
        <is>
          <t>Trục ngang inox</t>
        </is>
      </c>
      <c r="C7" s="55" t="inlineStr">
        <is>
          <t>3M65-160/15</t>
        </is>
      </c>
      <c r="D7" s="55" t="inlineStr">
        <is>
          <t>Không có trong catalogue 3M (35 mã, 3 hãng giống nhau).</t>
        </is>
      </c>
      <c r="E7" s="55" t="inlineStr">
        <is>
          <t>Catalogue chỉ có 3M 65-160/9.2 và 3M 65-160/11.</t>
        </is>
      </c>
      <c r="F7" s="55" t="inlineStr">
        <is>
          <t>1) Giữ nguyên. 2) Đổi thành mã khác anh chỉ định.</t>
        </is>
      </c>
      <c r="G7" s="55" t="inlineStr">
        <is>
          <t>1</t>
        </is>
      </c>
    </row>
    <row r="8">
      <c r="A8" s="55" t="n">
        <v>7</v>
      </c>
      <c r="B8" s="55" t="inlineStr">
        <is>
          <t>DWO CDX</t>
        </is>
      </c>
      <c r="C8" s="55" t="inlineStr">
        <is>
          <t>CDX120/15-1.1KW-380V, CDXM120/15-1.1KW-220V</t>
        </is>
      </c>
      <c r="D8" s="55" t="inlineStr">
        <is>
          <t>Không có trong catalogue CDX (9 mã).</t>
        </is>
      </c>
      <c r="E8" s="55" t="inlineStr">
        <is>
          <t>Catalogue có CDX120/07, CDX120/12, CDX120/20.</t>
        </is>
      </c>
      <c r="F8" s="55" t="inlineStr">
        <is>
          <t>1) Giữ nguyên. 2) Đổi sang CDX120/12 (anh xác nhận cùng hàng).</t>
        </is>
      </c>
      <c r="G8" s="55" t="inlineStr">
        <is>
          <t>1</t>
        </is>
      </c>
    </row>
    <row r="9">
      <c r="A9" s="55" t="n">
        <v>8</v>
      </c>
      <c r="B9" s="55" t="inlineStr">
        <is>
          <t>Giếng nhựa</t>
        </is>
      </c>
      <c r="C9" s="55" t="inlineStr">
        <is>
          <t>6SA35/14, 6SA35/18, 6SA45/9, 6SA45/13</t>
        </is>
      </c>
      <c r="D9" s="55" t="inlineStr">
        <is>
          <t>Không có trong catalogue SA PEROTAC/REDPUMP.</t>
        </is>
      </c>
      <c r="E9" s="55" t="inlineStr">
        <is>
          <t>Ghi chú catalogue: 'đã bỏ model bé hơn trong cặp cùng công suất' (6SA35/14 cùng 18,5 kW với 6SA35/16; 6SA35/18 cùng 22 kW với 6SA35/20; 6SA45/9 cùng 18,5 kW với 6SA45/11; 6SA45/13 cùng 22 kW với 6SA45/15).</t>
        </is>
      </c>
      <c r="F9" s="55" t="inlineStr">
        <is>
          <t>1) Giữ nguyên. 2) Xoá 4 dòng theo catalogue.</t>
        </is>
      </c>
      <c r="G9" s="55" t="inlineStr">
        <is>
          <t>2</t>
        </is>
      </c>
    </row>
    <row r="10">
      <c r="A10" s="55" t="n">
        <v>9</v>
      </c>
      <c r="B10" s="55" t="inlineStr">
        <is>
          <t>Con sò</t>
        </is>
      </c>
      <c r="C10" s="55" t="inlineStr">
        <is>
          <t>GB 90, GB 200</t>
        </is>
      </c>
      <c r="D10" s="55" t="inlineStr">
        <is>
          <t>Không có trong catalogue GB (37 mã, nhỏ nhất GB-250).</t>
        </is>
      </c>
      <c r="E10" s="55" t="inlineStr">
        <is>
          <t>—</t>
        </is>
      </c>
      <c r="F10" s="55" t="inlineStr">
        <is>
          <t>1) Giữ nguyên. 2) Xoá.</t>
        </is>
      </c>
      <c r="G10" s="55" t="inlineStr">
        <is>
          <t>1</t>
        </is>
      </c>
    </row>
    <row r="11">
      <c r="A11" s="55" t="n">
        <v>10</v>
      </c>
      <c r="B11" s="55" t="inlineStr">
        <is>
          <t>DWO CDX</t>
        </is>
      </c>
      <c r="C11" s="55" t="inlineStr">
        <is>
          <t>2CDX200/30-2.2KW-380V (dòng cũ) và 4 dòng mới 2CDX200</t>
        </is>
      </c>
      <c r="D11" s="55" t="inlineStr">
        <is>
          <t>Dòng cũ ghi họng 42-34; catalogue 2CDX ghi họng G1½ × 1" (khác dải 2CDX70/120 là G1¼ × 1").</t>
        </is>
      </c>
      <c r="E11" s="55" t="inlineStr">
        <is>
          <t>4 dòng mới 2CDX200 em để trống cột họng (mm), họng theo catalogue ghi ở cột riêng.</t>
        </is>
      </c>
      <c r="F11" s="55" t="inlineStr">
        <is>
          <t>1) Anh cho số mm đúng của G1½ × 1", em điền cả 5 dòng. 2) Giữ như hiện tại.</t>
        </is>
      </c>
      <c r="G11" s="55" t="inlineStr">
        <is>
          <t>1</t>
        </is>
      </c>
    </row>
    <row r="12">
      <c r="A12" s="55" t="n">
        <v>11</v>
      </c>
      <c r="B12" s="55" t="inlineStr">
        <is>
          <t>Phụ kiện</t>
        </is>
      </c>
      <c r="C12" s="55" t="inlineStr">
        <is>
          <t>DN168 và DN128</t>
        </is>
      </c>
      <c r="D12" s="55" t="inlineStr">
        <is>
          <t>Em đã thêm dòng DN128 (đĩa bọt thô 5 inch) theo catalogue. Bảng giá đang có DN168.</t>
        </is>
      </c>
      <c r="E12" s="55" t="inlineStr">
        <is>
          <t>Catalogue đĩa chỉ có DN270 và DN128, không có DN168.</t>
        </is>
      </c>
      <c r="F12" s="55" t="inlineStr">
        <is>
          <t>1) DN168 là hàng khác, giữ cả hai. 2) DN168 gõ nhầm của DN128: gộp vào một dòng.</t>
        </is>
      </c>
      <c r="G12" s="55" t="inlineStr">
        <is>
          <t>Anh xác nhận</t>
        </is>
      </c>
    </row>
    <row r="13">
      <c r="A13" s="55" t="n">
        <v>12</v>
      </c>
      <c r="B13" s="55" t="inlineStr">
        <is>
          <t>Nhiều trang</t>
        </is>
      </c>
      <c r="C13" s="55" t="inlineStr">
        <is>
          <t>SFM/SF (thải Perotac), VM (trục đứng), C660P/C6125P/C6250P (Định lượng), tủ điện, ROOT</t>
        </is>
      </c>
      <c r="D13" s="55" t="inlineStr">
        <is>
          <t>Chưa có catalogue đã duyệt cho các dòng này nên giữ nguyên thông số cũ.</t>
        </is>
      </c>
      <c r="E13" s="55" t="inlineStr">
        <is>
          <t>Thư mục CATALOGUE DA DUYET không có catalogue SF, VM, C6, Roots (Roots chỉ PEROTAC, chưa duyệt).</t>
        </is>
      </c>
      <c r="F13" s="55" t="inlineStr">
        <is>
          <t>Không cần trả lời; khi có catalogue em cập nhật tiếp.</t>
        </is>
      </c>
      <c r="G13" s="55" t="inlineStr">
        <is>
          <t>—</t>
        </is>
      </c>
    </row>
    <row r="15">
      <c r="B15" s="57" t="inlineStr">
        <is>
          <t>CHÚ THÍCH MÀU</t>
        </is>
      </c>
    </row>
    <row r="16">
      <c r="B16" s="58" t="inlineStr">
        <is>
          <t>Màu vàng</t>
        </is>
      </c>
      <c r="C16" t="inlineStr">
        <is>
          <t>Ô thông số đã sửa theo catalogue (số cũ xem trang NHAT KY THAY DOI)</t>
        </is>
      </c>
    </row>
    <row r="17">
      <c r="B17" s="53" t="inlineStr">
        <is>
          <t>Màu xanh lá</t>
        </is>
      </c>
      <c r="C17" t="inlineStr">
        <is>
          <t>Dòng mới thêm từ catalogue, chưa có giá</t>
        </is>
      </c>
    </row>
    <row r="18">
      <c r="B18" s="59" t="inlineStr">
        <is>
          <t>Màu đỏ nhạt</t>
        </is>
      </c>
      <c r="C18" t="inlineStr">
        <is>
          <t>Không có trong catalogue / hãng không có mã này</t>
        </is>
      </c>
    </row>
    <row r="19">
      <c r="B19" s="60" t="inlineStr">
        <is>
          <t>Màu xanh dương</t>
        </is>
      </c>
      <c r="C19" t="inlineStr">
        <is>
          <t>Cột mới thêm (có ở hãng nào, thông số AQUARIS riêng, nguồn, ghi chú)</t>
        </is>
      </c>
    </row>
    <row r="21">
      <c r="B21" s="57" t="inlineStr">
        <is>
          <t>Cách lấy số</t>
        </is>
      </c>
    </row>
    <row r="22">
      <c r="C22" s="61" t="inlineStr">
        <is>
          <t>Cột thông số chính lấy theo catalogue PEROTAC (REDPUMP giống hệt ở các cột này). Trang Giếng nhựa, Giếng inox, Trục ngang có thêm cột riêng thông số AQUARIS vì catalogue AQUARIS khác số. Giá nhập, giá bán, công thức giá giữ nguyên.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75"/>
  <sheetViews>
    <sheetView zoomScaleNormal="100" workbookViewId="0">
      <pane xSplit="2" ySplit="1" topLeftCell="C2" activePane="bottomRight" state="frozen"/>
      <selection pane="topRight" activeCell="A1" sqref="A1"/>
      <selection pane="bottomLeft" activeCell="A1" sqref="A1"/>
      <selection pane="bottomRight" activeCell="B79" sqref="B79"/>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7"/>
    <col width="13" customWidth="1" style="1" min="8" max="10"/>
    <col width="14" customWidth="1" style="1" min="11" max="14"/>
    <col width="16" customWidth="1" style="1" min="15" max="16"/>
    <col width="16" customWidth="1" style="1" min="17" max="17"/>
    <col width="16" customWidth="1" style="1" min="18" max="18"/>
    <col width="16" customWidth="1" style="1" min="19" max="19"/>
    <col width="16" customWidth="1" style="1" min="20" max="20"/>
    <col width="16" customWidth="1" style="1" min="21" max="21"/>
    <col width="16" customWidth="1" style="1" min="22" max="22"/>
    <col width="16" customWidth="1" style="1" min="23" max="23"/>
    <col width="40" customWidth="1" style="1" min="24" max="24"/>
    <col width="45" customWidth="1" style="1" min="25" max="25"/>
  </cols>
  <sheetData>
    <row r="1" ht="30" customHeight="1" s="1">
      <c r="A1" s="2" t="inlineStr">
        <is>
          <t>STT</t>
        </is>
      </c>
      <c r="B1" s="2" t="inlineStr">
        <is>
          <t>MODEL</t>
        </is>
      </c>
      <c r="C1" s="2" t="inlineStr">
        <is>
          <t>CÔNG SUẤT (KW)</t>
        </is>
      </c>
      <c r="D1" s="2" t="inlineStr">
        <is>
          <t>Họng xả (inch)</t>
        </is>
      </c>
      <c r="E1" s="2" t="inlineStr">
        <is>
          <t>Lưu lượng max (m3/h)</t>
        </is>
      </c>
      <c r="F1" s="2" t="inlineStr">
        <is>
          <t>Cột áp max (m)</t>
        </is>
      </c>
      <c r="G1" s="3" t="inlineStr">
        <is>
          <t>REDPUMP</t>
        </is>
      </c>
      <c r="H1" s="4" t="inlineStr">
        <is>
          <t>PEROTAC</t>
        </is>
      </c>
      <c r="I1" s="5" t="inlineStr">
        <is>
          <t>AQUARIS</t>
        </is>
      </c>
      <c r="J1" s="6" t="inlineStr">
        <is>
          <t>Giá nhập động lực</t>
        </is>
      </c>
      <c r="K1" s="2" t="inlineStr">
        <is>
          <t>Giá Buồng</t>
        </is>
      </c>
      <c r="L1" s="2" t="inlineStr">
        <is>
          <t>Giá động cơ</t>
        </is>
      </c>
      <c r="M1" s="2" t="inlineStr">
        <is>
          <t>Giá Sumoto</t>
        </is>
      </c>
      <c r="N1" s="2" t="inlineStr">
        <is>
          <t>Nhóm</t>
        </is>
      </c>
      <c r="O1" s="7" t="inlineStr">
        <is>
          <t>REDPUMP cũ (trước tăng)</t>
        </is>
      </c>
      <c r="P1" s="7" t="inlineStr">
        <is>
          <t>PEROTAC cũ (trước tăng)</t>
        </is>
      </c>
      <c r="Q1" s="42" t="inlineStr">
        <is>
          <t>Có trong catalogue REDPUMP</t>
        </is>
      </c>
      <c r="R1" s="42" t="inlineStr">
        <is>
          <t>Có trong catalogue PEROTAC</t>
        </is>
      </c>
      <c r="S1" s="42" t="inlineStr">
        <is>
          <t>Có trong catalogue AQUARIS</t>
        </is>
      </c>
      <c r="T1" s="42" t="inlineStr">
        <is>
          <t>AQUARIS – CÔNG SUẤT (KW)</t>
        </is>
      </c>
      <c r="U1" s="42" t="inlineStr">
        <is>
          <t>AQUARIS – Lưu lượng max (m3/h)</t>
        </is>
      </c>
      <c r="V1" s="42" t="inlineStr">
        <is>
          <t>AQUARIS – Cột áp max (m)</t>
        </is>
      </c>
      <c r="W1" s="42" t="inlineStr">
        <is>
          <t>Họng xả ghi trong catalogue</t>
        </is>
      </c>
      <c r="X1" s="42" t="inlineStr">
        <is>
          <t>Nguồn thông số (catalogue đã duyệt)</t>
        </is>
      </c>
      <c r="Y1" s="42" t="inlineStr">
        <is>
          <t>Ghi chú</t>
        </is>
      </c>
    </row>
    <row r="2" ht="18" customHeight="1" s="1">
      <c r="A2" s="8" t="n">
        <v>1</v>
      </c>
      <c r="B2" s="8" t="inlineStr">
        <is>
          <t>2SSm0.7/32-0.25</t>
        </is>
      </c>
      <c r="C2" s="8" t="n">
        <v>0.25</v>
      </c>
      <c r="D2" s="8" t="inlineStr">
        <is>
          <t>21</t>
        </is>
      </c>
      <c r="E2" s="43" t="n">
        <v>0.96</v>
      </c>
      <c r="F2" s="8" t="n">
        <v>43</v>
      </c>
      <c r="G2" s="9">
        <f>CEILING(O2*1.1,50000)</f>
        <v/>
      </c>
      <c r="H2" s="10">
        <f>CEILING(P2*1.15,50000)</f>
        <v/>
      </c>
      <c r="I2" s="11" t="n">
        <v>3800000</v>
      </c>
      <c r="J2" s="12" t="n">
        <v>1323000</v>
      </c>
      <c r="K2" s="12" t="n"/>
      <c r="L2" s="12" t="n"/>
      <c r="M2" s="8" t="n"/>
      <c r="N2" s="39" t="inlineStr">
        <is>
          <t>BƠM 2 ICNH CÁNH NHỰA</t>
        </is>
      </c>
      <c r="O2" s="13" t="n">
        <v>1700000</v>
      </c>
      <c r="P2" s="13" t="n">
        <v>1900000</v>
      </c>
      <c r="Q2" s="8" t="inlineStr">
        <is>
          <t>Có</t>
        </is>
      </c>
      <c r="R2" s="8" t="inlineStr">
        <is>
          <t>Có</t>
        </is>
      </c>
      <c r="S2" s="44" t="inlineStr">
        <is>
          <t>Không có</t>
        </is>
      </c>
      <c r="T2" s="8" t="inlineStr">
        <is>
          <t>Không có</t>
        </is>
      </c>
      <c r="U2" s="8" t="inlineStr">
        <is>
          <t>Không có</t>
        </is>
      </c>
      <c r="V2" s="8" t="inlineStr">
        <is>
          <t>Không có</t>
        </is>
      </c>
      <c r="W2" s="8" t="inlineStr">
        <is>
          <t>0.5 / 0.75 in</t>
        </is>
      </c>
      <c r="X2" s="8" t="inlineStr">
        <is>
          <t>PEROTAC - Bơm giếng SA.pdf, tr.2 (hãng khác: REDPUMP)</t>
        </is>
      </c>
      <c r="Y2" s="8" t="inlineStr">
        <is>
          <t>Có giá AQUARIS nhưng catalogue AQUARIS không có mã này</t>
        </is>
      </c>
    </row>
    <row r="3" ht="18" customHeight="1" s="1">
      <c r="A3" s="14" t="n">
        <v>2</v>
      </c>
      <c r="B3" s="14" t="inlineStr">
        <is>
          <t>2SSm0.7/38-0.37</t>
        </is>
      </c>
      <c r="C3" s="14" t="n">
        <v>0.37</v>
      </c>
      <c r="D3" s="14" t="inlineStr">
        <is>
          <t>21</t>
        </is>
      </c>
      <c r="E3" s="43" t="n">
        <v>0.96</v>
      </c>
      <c r="F3" s="14" t="n">
        <v>51</v>
      </c>
      <c r="G3" s="9">
        <f>CEILING(O3*1.1,50000)</f>
        <v/>
      </c>
      <c r="H3" s="10">
        <f>CEILING(P3*1.15,50000)</f>
        <v/>
      </c>
      <c r="I3" s="11" t="n">
        <v>4000000</v>
      </c>
      <c r="J3" s="15" t="n">
        <v>1413000</v>
      </c>
      <c r="K3" s="15" t="n"/>
      <c r="L3" s="15" t="n"/>
      <c r="M3" s="14" t="n"/>
      <c r="N3" s="45" t="n"/>
      <c r="O3" s="13" t="n">
        <v>1900000</v>
      </c>
      <c r="P3" s="13" t="n">
        <v>2000000</v>
      </c>
      <c r="Q3" s="14" t="inlineStr">
        <is>
          <t>Có</t>
        </is>
      </c>
      <c r="R3" s="14" t="inlineStr">
        <is>
          <t>Có</t>
        </is>
      </c>
      <c r="S3" s="44" t="inlineStr">
        <is>
          <t>Không có</t>
        </is>
      </c>
      <c r="T3" s="14" t="inlineStr">
        <is>
          <t>Không có</t>
        </is>
      </c>
      <c r="U3" s="14" t="inlineStr">
        <is>
          <t>Không có</t>
        </is>
      </c>
      <c r="V3" s="14" t="inlineStr">
        <is>
          <t>Không có</t>
        </is>
      </c>
      <c r="W3" s="14" t="inlineStr">
        <is>
          <t>0.5 / 0.75 in</t>
        </is>
      </c>
      <c r="X3" s="14" t="inlineStr">
        <is>
          <t>PEROTAC - Bơm giếng SA.pdf, tr.2 (hãng khác: REDPUMP)</t>
        </is>
      </c>
      <c r="Y3" s="14" t="inlineStr">
        <is>
          <t>Có giá AQUARIS nhưng catalogue AQUARIS không có mã này</t>
        </is>
      </c>
    </row>
    <row r="4" ht="18" customHeight="1" s="1">
      <c r="A4" s="8" t="n">
        <v>1</v>
      </c>
      <c r="B4" s="8" t="inlineStr">
        <is>
          <t>2.5SSm1.5/17-0.37</t>
        </is>
      </c>
      <c r="C4" s="8" t="n">
        <v>0.37</v>
      </c>
      <c r="D4" s="8" t="n">
        <v>27</v>
      </c>
      <c r="E4" s="8" t="n">
        <v>2.4</v>
      </c>
      <c r="F4" s="43" t="n">
        <v>46</v>
      </c>
      <c r="G4" s="9">
        <f>CEILING(O4*1.1,50000)</f>
        <v/>
      </c>
      <c r="H4" s="10">
        <f>CEILING(P4*1.15,50000)</f>
        <v/>
      </c>
      <c r="I4" s="11" t="n">
        <v>3400000</v>
      </c>
      <c r="J4" s="12" t="n">
        <v>1188000</v>
      </c>
      <c r="K4" s="12" t="n"/>
      <c r="L4" s="12" t="n"/>
      <c r="M4" s="8" t="n"/>
      <c r="N4" s="39" t="inlineStr">
        <is>
          <t>BƠM 25 INCH CÁNH NHỰA</t>
        </is>
      </c>
      <c r="O4" s="13" t="n">
        <v>1600000</v>
      </c>
      <c r="P4" s="13" t="n">
        <v>1700000</v>
      </c>
      <c r="Q4" s="8" t="inlineStr">
        <is>
          <t>Có</t>
        </is>
      </c>
      <c r="R4" s="8" t="inlineStr">
        <is>
          <t>Có</t>
        </is>
      </c>
      <c r="S4" s="44" t="inlineStr">
        <is>
          <t>Không có</t>
        </is>
      </c>
      <c r="T4" s="8" t="inlineStr">
        <is>
          <t>Không có</t>
        </is>
      </c>
      <c r="U4" s="8" t="inlineStr">
        <is>
          <t>Không có</t>
        </is>
      </c>
      <c r="V4" s="8" t="inlineStr">
        <is>
          <t>Không có</t>
        </is>
      </c>
      <c r="W4" s="8" t="inlineStr">
        <is>
          <t>1 in</t>
        </is>
      </c>
      <c r="X4" s="8" t="inlineStr">
        <is>
          <t>PEROTAC - Bơm giếng SA.pdf, tr.3 (hãng khác: REDPUMP)</t>
        </is>
      </c>
      <c r="Y4" s="8" t="inlineStr">
        <is>
          <t>Có giá AQUARIS nhưng catalogue AQUARIS không có mã này</t>
        </is>
      </c>
    </row>
    <row r="5" ht="18" customHeight="1" s="1">
      <c r="A5" s="14" t="n">
        <v>2</v>
      </c>
      <c r="B5" s="14" t="inlineStr">
        <is>
          <t>2.5SSm1.5/24-0.55</t>
        </is>
      </c>
      <c r="C5" s="14" t="n">
        <v>0.55</v>
      </c>
      <c r="D5" s="14" t="n">
        <v>27</v>
      </c>
      <c r="E5" s="14" t="n">
        <v>2.4</v>
      </c>
      <c r="F5" s="14" t="n">
        <v>65</v>
      </c>
      <c r="G5" s="9">
        <f>CEILING(O5*1.1,50000)</f>
        <v/>
      </c>
      <c r="H5" s="10">
        <f>CEILING(P5*1.15,50000)</f>
        <v/>
      </c>
      <c r="I5" s="11" t="n">
        <v>4000000</v>
      </c>
      <c r="J5" s="15" t="n">
        <v>1323000</v>
      </c>
      <c r="K5" s="15" t="n"/>
      <c r="L5" s="15" t="n"/>
      <c r="M5" s="14" t="n"/>
      <c r="N5" s="46" t="n"/>
      <c r="O5" s="13" t="n">
        <v>1800000</v>
      </c>
      <c r="P5" s="13" t="n">
        <v>2000000</v>
      </c>
      <c r="Q5" s="14" t="inlineStr">
        <is>
          <t>Có</t>
        </is>
      </c>
      <c r="R5" s="14" t="inlineStr">
        <is>
          <t>Có</t>
        </is>
      </c>
      <c r="S5" s="44" t="inlineStr">
        <is>
          <t>Không có</t>
        </is>
      </c>
      <c r="T5" s="14" t="inlineStr">
        <is>
          <t>Không có</t>
        </is>
      </c>
      <c r="U5" s="14" t="inlineStr">
        <is>
          <t>Không có</t>
        </is>
      </c>
      <c r="V5" s="14" t="inlineStr">
        <is>
          <t>Không có</t>
        </is>
      </c>
      <c r="W5" s="14" t="inlineStr">
        <is>
          <t>1 in</t>
        </is>
      </c>
      <c r="X5" s="14" t="inlineStr">
        <is>
          <t>PEROTAC - Bơm giếng SA.pdf, tr.3 (hãng khác: REDPUMP)</t>
        </is>
      </c>
      <c r="Y5" s="14" t="inlineStr">
        <is>
          <t>Có giá AQUARIS nhưng catalogue AQUARIS không có mã này</t>
        </is>
      </c>
    </row>
    <row r="6" ht="18" customHeight="1" s="1">
      <c r="A6" s="8" t="n">
        <v>3</v>
      </c>
      <c r="B6" s="8" t="inlineStr">
        <is>
          <t>2.5SSm1.5/31-0.75</t>
        </is>
      </c>
      <c r="C6" s="8" t="n">
        <v>0.75</v>
      </c>
      <c r="D6" s="8" t="n">
        <v>27</v>
      </c>
      <c r="E6" s="8" t="n">
        <v>2.4</v>
      </c>
      <c r="F6" s="8" t="n">
        <v>84</v>
      </c>
      <c r="G6" s="9">
        <f>CEILING(O6*1.1,50000)</f>
        <v/>
      </c>
      <c r="H6" s="10">
        <f>CEILING(P6*1.15,50000)</f>
        <v/>
      </c>
      <c r="I6" s="11" t="n">
        <v>4600000</v>
      </c>
      <c r="J6" s="12" t="n">
        <v>1557000</v>
      </c>
      <c r="K6" s="12" t="n"/>
      <c r="L6" s="12" t="n"/>
      <c r="M6" s="8" t="n"/>
      <c r="N6" s="45" t="n"/>
      <c r="O6" s="13" t="n">
        <v>2000000</v>
      </c>
      <c r="P6" s="13" t="n">
        <v>2300000</v>
      </c>
      <c r="Q6" s="8" t="inlineStr">
        <is>
          <t>Có</t>
        </is>
      </c>
      <c r="R6" s="8" t="inlineStr">
        <is>
          <t>Có</t>
        </is>
      </c>
      <c r="S6" s="44" t="inlineStr">
        <is>
          <t>Không có</t>
        </is>
      </c>
      <c r="T6" s="8" t="inlineStr">
        <is>
          <t>Không có</t>
        </is>
      </c>
      <c r="U6" s="8" t="inlineStr">
        <is>
          <t>Không có</t>
        </is>
      </c>
      <c r="V6" s="8" t="inlineStr">
        <is>
          <t>Không có</t>
        </is>
      </c>
      <c r="W6" s="8" t="inlineStr">
        <is>
          <t>1 in</t>
        </is>
      </c>
      <c r="X6" s="8" t="inlineStr">
        <is>
          <t>PEROTAC - Bơm giếng SA.pdf, tr.3 (hãng khác: REDPUMP)</t>
        </is>
      </c>
      <c r="Y6" s="8" t="inlineStr">
        <is>
          <t>Có giá AQUARIS nhưng catalogue AQUARIS không có mã này</t>
        </is>
      </c>
    </row>
    <row r="7" ht="18" customHeight="1" s="1">
      <c r="A7" s="14" t="n">
        <v>1</v>
      </c>
      <c r="B7" s="14" t="inlineStr">
        <is>
          <t>3SSm3/16-0.55</t>
        </is>
      </c>
      <c r="C7" s="14" t="n">
        <v>0.55</v>
      </c>
      <c r="D7" s="14" t="n">
        <v>34</v>
      </c>
      <c r="E7" s="14" t="n">
        <v>3.6</v>
      </c>
      <c r="F7" s="14" t="n">
        <v>64</v>
      </c>
      <c r="G7" s="9">
        <f>CEILING(O7*1.1,50000)</f>
        <v/>
      </c>
      <c r="H7" s="10">
        <f>CEILING(P7*1.15,50000)</f>
        <v/>
      </c>
      <c r="I7" s="11" t="n">
        <v>4000000</v>
      </c>
      <c r="J7" s="15" t="n">
        <v>1413000</v>
      </c>
      <c r="K7" s="15" t="n"/>
      <c r="L7" s="15" t="n"/>
      <c r="M7" s="14" t="n"/>
      <c r="N7" s="38" t="inlineStr">
        <is>
          <t>BƠM 3 INCH CÁNH NHỰA</t>
        </is>
      </c>
      <c r="O7" s="13" t="n">
        <v>1900000</v>
      </c>
      <c r="P7" s="13" t="n">
        <v>2000000</v>
      </c>
      <c r="Q7" s="14" t="inlineStr">
        <is>
          <t>Có</t>
        </is>
      </c>
      <c r="R7" s="14" t="inlineStr">
        <is>
          <t>Có</t>
        </is>
      </c>
      <c r="S7" s="44" t="inlineStr">
        <is>
          <t>Không có</t>
        </is>
      </c>
      <c r="T7" s="14" t="inlineStr">
        <is>
          <t>Không có</t>
        </is>
      </c>
      <c r="U7" s="14" t="inlineStr">
        <is>
          <t>Không có</t>
        </is>
      </c>
      <c r="V7" s="14" t="inlineStr">
        <is>
          <t>Không có</t>
        </is>
      </c>
      <c r="W7" s="14" t="inlineStr">
        <is>
          <t>1 / 1.25 / 1.5 in</t>
        </is>
      </c>
      <c r="X7" s="14" t="inlineStr">
        <is>
          <t>PEROTAC - Bơm giếng SA.pdf, tr.5 (hãng khác: REDPUMP)</t>
        </is>
      </c>
      <c r="Y7" s="14" t="inlineStr">
        <is>
          <t>Có giá AQUARIS nhưng catalogue AQUARIS không có mã này</t>
        </is>
      </c>
    </row>
    <row r="8" ht="18" customHeight="1" s="1">
      <c r="A8" s="8" t="n">
        <v>2</v>
      </c>
      <c r="B8" s="8" t="inlineStr">
        <is>
          <t>3SSm4/16-0.75</t>
        </is>
      </c>
      <c r="C8" s="8" t="n">
        <v>0.75</v>
      </c>
      <c r="D8" s="8" t="n">
        <v>34</v>
      </c>
      <c r="E8" s="8" t="n">
        <v>5.4</v>
      </c>
      <c r="F8" s="8" t="n">
        <v>66</v>
      </c>
      <c r="G8" s="9">
        <f>CEILING(O8*1.1,50000)</f>
        <v/>
      </c>
      <c r="H8" s="10">
        <f>CEILING(P8*1.15,50000)</f>
        <v/>
      </c>
      <c r="I8" s="11" t="n">
        <v>4600000</v>
      </c>
      <c r="J8" s="12" t="n">
        <v>1512000</v>
      </c>
      <c r="K8" s="12" t="n"/>
      <c r="L8" s="12" t="n"/>
      <c r="M8" s="8" t="n"/>
      <c r="N8" s="46" t="n"/>
      <c r="O8" s="13" t="n">
        <v>2100000</v>
      </c>
      <c r="P8" s="13" t="n">
        <v>2300000</v>
      </c>
      <c r="Q8" s="8" t="inlineStr">
        <is>
          <t>Có</t>
        </is>
      </c>
      <c r="R8" s="8" t="inlineStr">
        <is>
          <t>Có</t>
        </is>
      </c>
      <c r="S8" s="44" t="inlineStr">
        <is>
          <t>Không có</t>
        </is>
      </c>
      <c r="T8" s="8" t="inlineStr">
        <is>
          <t>Không có</t>
        </is>
      </c>
      <c r="U8" s="8" t="inlineStr">
        <is>
          <t>Không có</t>
        </is>
      </c>
      <c r="V8" s="8" t="inlineStr">
        <is>
          <t>Không có</t>
        </is>
      </c>
      <c r="W8" s="8" t="inlineStr">
        <is>
          <t>1 / 1.25 / 1.5 in</t>
        </is>
      </c>
      <c r="X8" s="8" t="inlineStr">
        <is>
          <t>PEROTAC - Bơm giếng SA.pdf, tr.6 (hãng khác: REDPUMP)</t>
        </is>
      </c>
      <c r="Y8" s="8" t="inlineStr">
        <is>
          <t>Có giá AQUARIS nhưng catalogue AQUARIS không có mã này</t>
        </is>
      </c>
    </row>
    <row r="9" ht="18" customHeight="1" s="1">
      <c r="A9" s="14" t="n">
        <v>3</v>
      </c>
      <c r="B9" s="14" t="inlineStr">
        <is>
          <t>3SSm3/21-0.75</t>
        </is>
      </c>
      <c r="C9" s="14" t="n">
        <v>0.75</v>
      </c>
      <c r="D9" s="14" t="n">
        <v>34</v>
      </c>
      <c r="E9" s="14" t="n">
        <v>3.6</v>
      </c>
      <c r="F9" s="14" t="n">
        <v>85</v>
      </c>
      <c r="G9" s="9">
        <f>CEILING(O9*1.1,50000)</f>
        <v/>
      </c>
      <c r="H9" s="10">
        <f>CEILING(P9*1.15,50000)</f>
        <v/>
      </c>
      <c r="I9" s="11" t="n">
        <v>4600000</v>
      </c>
      <c r="J9" s="15" t="n">
        <v>1512000</v>
      </c>
      <c r="K9" s="15" t="n"/>
      <c r="L9" s="15" t="n"/>
      <c r="M9" s="14" t="n"/>
      <c r="N9" s="46" t="n"/>
      <c r="O9" s="13" t="n">
        <v>2100000</v>
      </c>
      <c r="P9" s="13" t="n">
        <v>2300000</v>
      </c>
      <c r="Q9" s="14" t="inlineStr">
        <is>
          <t>Có</t>
        </is>
      </c>
      <c r="R9" s="14" t="inlineStr">
        <is>
          <t>Có</t>
        </is>
      </c>
      <c r="S9" s="44" t="inlineStr">
        <is>
          <t>Không có</t>
        </is>
      </c>
      <c r="T9" s="14" t="inlineStr">
        <is>
          <t>Không có</t>
        </is>
      </c>
      <c r="U9" s="14" t="inlineStr">
        <is>
          <t>Không có</t>
        </is>
      </c>
      <c r="V9" s="14" t="inlineStr">
        <is>
          <t>Không có</t>
        </is>
      </c>
      <c r="W9" s="14" t="inlineStr">
        <is>
          <t>1 / 1.25 / 1.5 in</t>
        </is>
      </c>
      <c r="X9" s="14" t="inlineStr">
        <is>
          <t>PEROTAC - Bơm giếng SA.pdf, tr.5 (hãng khác: REDPUMP)</t>
        </is>
      </c>
      <c r="Y9" s="14" t="inlineStr">
        <is>
          <t>Có giá AQUARIS nhưng catalogue AQUARIS không có mã này</t>
        </is>
      </c>
    </row>
    <row r="10" ht="18" customHeight="1" s="1">
      <c r="A10" s="8" t="n">
        <v>4</v>
      </c>
      <c r="B10" s="8" t="inlineStr">
        <is>
          <t>3SSm4/24-1.1</t>
        </is>
      </c>
      <c r="C10" s="8" t="n">
        <v>1.1</v>
      </c>
      <c r="D10" s="8" t="n">
        <v>42</v>
      </c>
      <c r="E10" s="8" t="n">
        <v>5.4</v>
      </c>
      <c r="F10" s="8" t="n">
        <v>99</v>
      </c>
      <c r="G10" s="9">
        <f>CEILING(O10*1.1,50000)</f>
        <v/>
      </c>
      <c r="H10" s="10">
        <f>CEILING(P10*1.15,50000)</f>
        <v/>
      </c>
      <c r="I10" s="11" t="n">
        <v>6000000</v>
      </c>
      <c r="J10" s="12" t="n">
        <v>1935000</v>
      </c>
      <c r="K10" s="12" t="n"/>
      <c r="L10" s="12" t="n"/>
      <c r="M10" s="8" t="n"/>
      <c r="N10" s="46" t="n"/>
      <c r="O10" s="13" t="n">
        <v>2600000</v>
      </c>
      <c r="P10" s="13" t="n">
        <v>3000000</v>
      </c>
      <c r="Q10" s="8" t="inlineStr">
        <is>
          <t>Có</t>
        </is>
      </c>
      <c r="R10" s="8" t="inlineStr">
        <is>
          <t>Có</t>
        </is>
      </c>
      <c r="S10" s="44" t="inlineStr">
        <is>
          <t>Không có</t>
        </is>
      </c>
      <c r="T10" s="8" t="inlineStr">
        <is>
          <t>Không có</t>
        </is>
      </c>
      <c r="U10" s="8" t="inlineStr">
        <is>
          <t>Không có</t>
        </is>
      </c>
      <c r="V10" s="8" t="inlineStr">
        <is>
          <t>Không có</t>
        </is>
      </c>
      <c r="W10" s="8" t="inlineStr">
        <is>
          <t>1 / 1.25 / 1.5 in</t>
        </is>
      </c>
      <c r="X10" s="8" t="inlineStr">
        <is>
          <t>PEROTAC - Bơm giếng SA.pdf, tr.6 (hãng khác: REDPUMP)</t>
        </is>
      </c>
      <c r="Y10" s="8" t="inlineStr">
        <is>
          <t>Có giá AQUARIS nhưng catalogue AQUARIS không có mã này</t>
        </is>
      </c>
    </row>
    <row r="11" ht="18" customHeight="1" s="1">
      <c r="A11" s="14" t="n">
        <v>5</v>
      </c>
      <c r="B11" s="14" t="inlineStr">
        <is>
          <t>3SSm3/31-1.1</t>
        </is>
      </c>
      <c r="C11" s="14" t="n">
        <v>1.1</v>
      </c>
      <c r="D11" s="14" t="n">
        <v>34</v>
      </c>
      <c r="E11" s="14" t="n">
        <v>3.6</v>
      </c>
      <c r="F11" s="14" t="n">
        <v>125</v>
      </c>
      <c r="G11" s="9">
        <f>CEILING(O11*1.1,50000)</f>
        <v/>
      </c>
      <c r="H11" s="10">
        <f>CEILING(P11*1.15,50000)</f>
        <v/>
      </c>
      <c r="I11" s="11" t="n">
        <v>6000000</v>
      </c>
      <c r="J11" s="15" t="n">
        <v>1935000</v>
      </c>
      <c r="K11" s="15" t="n"/>
      <c r="L11" s="15" t="n"/>
      <c r="M11" s="14" t="n"/>
      <c r="N11" s="46" t="n"/>
      <c r="O11" s="13" t="n">
        <v>2600000</v>
      </c>
      <c r="P11" s="13" t="n">
        <v>3000000</v>
      </c>
      <c r="Q11" s="14" t="inlineStr">
        <is>
          <t>Có</t>
        </is>
      </c>
      <c r="R11" s="14" t="inlineStr">
        <is>
          <t>Có</t>
        </is>
      </c>
      <c r="S11" s="44" t="inlineStr">
        <is>
          <t>Không có</t>
        </is>
      </c>
      <c r="T11" s="14" t="inlineStr">
        <is>
          <t>Không có</t>
        </is>
      </c>
      <c r="U11" s="14" t="inlineStr">
        <is>
          <t>Không có</t>
        </is>
      </c>
      <c r="V11" s="14" t="inlineStr">
        <is>
          <t>Không có</t>
        </is>
      </c>
      <c r="W11" s="14" t="inlineStr">
        <is>
          <t>1 / 1.25 / 1.5 in</t>
        </is>
      </c>
      <c r="X11" s="14" t="inlineStr">
        <is>
          <t>PEROTAC - Bơm giếng SA.pdf, tr.5 (hãng khác: REDPUMP)</t>
        </is>
      </c>
      <c r="Y11" s="14" t="inlineStr">
        <is>
          <t>Có giá AQUARIS nhưng catalogue AQUARIS không có mã này</t>
        </is>
      </c>
    </row>
    <row r="12" ht="18" customHeight="1" s="1">
      <c r="A12" s="8" t="n">
        <v>6</v>
      </c>
      <c r="B12" s="8" t="inlineStr">
        <is>
          <t>3SSm4/28-1.5</t>
        </is>
      </c>
      <c r="C12" s="8" t="n">
        <v>1.5</v>
      </c>
      <c r="D12" s="8" t="n">
        <v>42</v>
      </c>
      <c r="E12" s="8" t="n">
        <v>5.4</v>
      </c>
      <c r="F12" s="8" t="n">
        <v>115</v>
      </c>
      <c r="G12" s="9">
        <f>CEILING(O12*1.1,50000)</f>
        <v/>
      </c>
      <c r="H12" s="10">
        <f>CEILING(P12*1.15,50000)</f>
        <v/>
      </c>
      <c r="I12" s="11" t="n">
        <v>6800000</v>
      </c>
      <c r="J12" s="12" t="n">
        <v>2178000</v>
      </c>
      <c r="K12" s="12" t="n"/>
      <c r="L12" s="12" t="n"/>
      <c r="M12" s="8" t="n"/>
      <c r="N12" s="45" t="n"/>
      <c r="O12" s="13" t="n">
        <v>3000000</v>
      </c>
      <c r="P12" s="13" t="n">
        <v>3400000</v>
      </c>
      <c r="Q12" s="8" t="inlineStr">
        <is>
          <t>Có</t>
        </is>
      </c>
      <c r="R12" s="8" t="inlineStr">
        <is>
          <t>Có</t>
        </is>
      </c>
      <c r="S12" s="44" t="inlineStr">
        <is>
          <t>Không có</t>
        </is>
      </c>
      <c r="T12" s="8" t="inlineStr">
        <is>
          <t>Không có</t>
        </is>
      </c>
      <c r="U12" s="8" t="inlineStr">
        <is>
          <t>Không có</t>
        </is>
      </c>
      <c r="V12" s="8" t="inlineStr">
        <is>
          <t>Không có</t>
        </is>
      </c>
      <c r="W12" s="8" t="inlineStr">
        <is>
          <t>1 / 1.25 / 1.5 in</t>
        </is>
      </c>
      <c r="X12" s="8" t="inlineStr">
        <is>
          <t>PEROTAC - Bơm giếng SA.pdf, tr.6 (hãng khác: REDPUMP)</t>
        </is>
      </c>
      <c r="Y12" s="8" t="inlineStr">
        <is>
          <t>Có giá AQUARIS nhưng catalogue AQUARIS không có mã này</t>
        </is>
      </c>
    </row>
    <row r="13" ht="18" customHeight="1" s="1">
      <c r="A13" s="8" t="n">
        <v>16</v>
      </c>
      <c r="B13" s="8" t="inlineStr">
        <is>
          <t>4SA4/10</t>
        </is>
      </c>
      <c r="C13" s="8" t="n">
        <v>0.75</v>
      </c>
      <c r="D13" s="8" t="n">
        <v>48</v>
      </c>
      <c r="E13" s="8" t="n">
        <v>6</v>
      </c>
      <c r="F13" s="8" t="n">
        <v>73</v>
      </c>
      <c r="G13" s="9">
        <f>CEILING(O13*1.1,50000)</f>
        <v/>
      </c>
      <c r="H13" s="10">
        <f>CEILING(P13*1.15,50000)</f>
        <v/>
      </c>
      <c r="I13" s="11" t="n">
        <v>6000000</v>
      </c>
      <c r="J13" s="16" t="n">
        <v>2034000</v>
      </c>
      <c r="K13" s="12" t="n">
        <v>813600</v>
      </c>
      <c r="L13" s="12" t="n">
        <v>1220400</v>
      </c>
      <c r="M13" s="12" t="n">
        <v>4752000</v>
      </c>
      <c r="N13" s="38" t="n"/>
      <c r="O13" s="13" t="n">
        <v>2400000</v>
      </c>
      <c r="P13" s="13" t="n">
        <v>3000000</v>
      </c>
      <c r="Q13" s="8" t="inlineStr">
        <is>
          <t>Có</t>
        </is>
      </c>
      <c r="R13" s="8" t="inlineStr">
        <is>
          <t>Có</t>
        </is>
      </c>
      <c r="S13" s="44" t="inlineStr">
        <is>
          <t>Không có</t>
        </is>
      </c>
      <c r="T13" s="8" t="inlineStr">
        <is>
          <t>Không có</t>
        </is>
      </c>
      <c r="U13" s="8" t="inlineStr">
        <is>
          <t>Không có</t>
        </is>
      </c>
      <c r="V13" s="8" t="inlineStr">
        <is>
          <t>Không có</t>
        </is>
      </c>
      <c r="W13" s="8" t="inlineStr">
        <is>
          <t>1.5 in</t>
        </is>
      </c>
      <c r="X13" s="8" t="inlineStr">
        <is>
          <t>PEROTAC - Bơm giếng SA.pdf, tr.9 (hãng khác: REDPUMP)</t>
        </is>
      </c>
      <c r="Y13" s="8" t="inlineStr">
        <is>
          <t>Có giá AQUARIS nhưng catalogue AQUARIS không có mã này</t>
        </is>
      </c>
    </row>
    <row r="14" ht="18" customHeight="1" s="1">
      <c r="A14" s="14" t="n">
        <v>17</v>
      </c>
      <c r="B14" s="14" t="inlineStr">
        <is>
          <t>4SA4/12</t>
        </is>
      </c>
      <c r="C14" s="43" t="n">
        <v>0.92</v>
      </c>
      <c r="D14" s="14" t="n">
        <v>48</v>
      </c>
      <c r="E14" s="14" t="n">
        <v>6</v>
      </c>
      <c r="F14" s="14" t="n">
        <v>87</v>
      </c>
      <c r="G14" s="9">
        <f>CEILING(O14*1.1,50000)</f>
        <v/>
      </c>
      <c r="H14" s="10">
        <f>CEILING(P14*1.15,50000)</f>
        <v/>
      </c>
      <c r="I14" s="11" t="n">
        <v>6600000</v>
      </c>
      <c r="J14" s="16" t="n">
        <v>2277000</v>
      </c>
      <c r="K14" s="15" t="n">
        <v>910800</v>
      </c>
      <c r="L14" s="15" t="n">
        <v>1366200</v>
      </c>
      <c r="M14" s="15" t="n">
        <v>6480000</v>
      </c>
      <c r="N14" s="46" t="n"/>
      <c r="O14" s="13" t="n">
        <v>2700000</v>
      </c>
      <c r="P14" s="13" t="n">
        <v>3300000</v>
      </c>
      <c r="Q14" s="14" t="inlineStr">
        <is>
          <t>Có</t>
        </is>
      </c>
      <c r="R14" s="14" t="inlineStr">
        <is>
          <t>Có</t>
        </is>
      </c>
      <c r="S14" s="14" t="inlineStr">
        <is>
          <t>Có</t>
        </is>
      </c>
      <c r="T14" s="43" t="n">
        <v>1.1</v>
      </c>
      <c r="U14" s="14" t="n">
        <v>6</v>
      </c>
      <c r="V14" s="43" t="n">
        <v>83</v>
      </c>
      <c r="W14" s="14" t="inlineStr">
        <is>
          <t>1.5 in</t>
        </is>
      </c>
      <c r="X14" s="14" t="inlineStr">
        <is>
          <t>PEROTAC - Bơm giếng SA.pdf, tr.9 (hãng khác: AQUARIS, REDPUMP)</t>
        </is>
      </c>
      <c r="Y14" s="14" t="inlineStr">
        <is>
          <t>Thông số AQUARIS khác PEROTAC (xem cột riêng)</t>
        </is>
      </c>
    </row>
    <row r="15" ht="18" customHeight="1" s="1">
      <c r="A15" s="8" t="n">
        <v>18</v>
      </c>
      <c r="B15" s="8" t="inlineStr">
        <is>
          <t>4SA4/14</t>
        </is>
      </c>
      <c r="C15" s="8" t="n">
        <v>1.1</v>
      </c>
      <c r="D15" s="8" t="n">
        <v>48</v>
      </c>
      <c r="E15" s="8" t="n">
        <v>6</v>
      </c>
      <c r="F15" s="8" t="n">
        <v>102</v>
      </c>
      <c r="G15" s="9">
        <f>CEILING(O15*1.1,50000)</f>
        <v/>
      </c>
      <c r="H15" s="10">
        <f>CEILING(P15*1.15,50000)</f>
        <v/>
      </c>
      <c r="I15" s="11" t="n">
        <v>6600000</v>
      </c>
      <c r="J15" s="16" t="n">
        <v>2277000</v>
      </c>
      <c r="K15" s="12" t="n">
        <v>910800</v>
      </c>
      <c r="L15" s="12" t="n">
        <v>1366200</v>
      </c>
      <c r="M15" s="12" t="n">
        <v>6480000</v>
      </c>
      <c r="N15" s="46" t="n"/>
      <c r="O15" s="13" t="n">
        <v>2700000</v>
      </c>
      <c r="P15" s="13" t="n">
        <v>3300000</v>
      </c>
      <c r="Q15" s="8" t="inlineStr">
        <is>
          <t>Có</t>
        </is>
      </c>
      <c r="R15" s="8" t="inlineStr">
        <is>
          <t>Có</t>
        </is>
      </c>
      <c r="S15" s="44" t="inlineStr">
        <is>
          <t>Không có</t>
        </is>
      </c>
      <c r="T15" s="8" t="inlineStr">
        <is>
          <t>Không có</t>
        </is>
      </c>
      <c r="U15" s="8" t="inlineStr">
        <is>
          <t>Không có</t>
        </is>
      </c>
      <c r="V15" s="8" t="inlineStr">
        <is>
          <t>Không có</t>
        </is>
      </c>
      <c r="W15" s="8" t="inlineStr">
        <is>
          <t>1.5 in</t>
        </is>
      </c>
      <c r="X15" s="8" t="inlineStr">
        <is>
          <t>PEROTAC - Bơm giếng SA.pdf, tr.9 (hãng khác: REDPUMP)</t>
        </is>
      </c>
      <c r="Y15" s="8" t="inlineStr">
        <is>
          <t>Có giá AQUARIS nhưng catalogue AQUARIS không có mã này</t>
        </is>
      </c>
    </row>
    <row r="16" ht="18" customHeight="1" s="1">
      <c r="A16" s="14" t="n">
        <v>19</v>
      </c>
      <c r="B16" s="14" t="inlineStr">
        <is>
          <t>4SA4/18</t>
        </is>
      </c>
      <c r="C16" s="14" t="n">
        <v>1.5</v>
      </c>
      <c r="D16" s="14" t="n">
        <v>48</v>
      </c>
      <c r="E16" s="14" t="n">
        <v>6</v>
      </c>
      <c r="F16" s="14" t="n">
        <v>131</v>
      </c>
      <c r="G16" s="9">
        <f>CEILING(O16*1.1,50000)</f>
        <v/>
      </c>
      <c r="H16" s="10">
        <f>CEILING(P16*1.15,50000)</f>
        <v/>
      </c>
      <c r="I16" s="11" t="n">
        <v>7400000</v>
      </c>
      <c r="J16" s="16" t="n">
        <v>2601000</v>
      </c>
      <c r="K16" s="15" t="n">
        <v>1040400</v>
      </c>
      <c r="L16" s="15" t="n">
        <v>1560600</v>
      </c>
      <c r="M16" s="15" t="n">
        <v>7128000</v>
      </c>
      <c r="N16" s="46" t="n"/>
      <c r="O16" s="13" t="n">
        <v>3100000</v>
      </c>
      <c r="P16" s="13" t="n">
        <v>3700000</v>
      </c>
      <c r="Q16" s="14" t="inlineStr">
        <is>
          <t>Có</t>
        </is>
      </c>
      <c r="R16" s="14" t="inlineStr">
        <is>
          <t>Có</t>
        </is>
      </c>
      <c r="S16" s="44" t="inlineStr">
        <is>
          <t>Không có</t>
        </is>
      </c>
      <c r="T16" s="14" t="inlineStr">
        <is>
          <t>Không có</t>
        </is>
      </c>
      <c r="U16" s="14" t="inlineStr">
        <is>
          <t>Không có</t>
        </is>
      </c>
      <c r="V16" s="14" t="inlineStr">
        <is>
          <t>Không có</t>
        </is>
      </c>
      <c r="W16" s="14" t="inlineStr">
        <is>
          <t>1.5 in</t>
        </is>
      </c>
      <c r="X16" s="14" t="inlineStr">
        <is>
          <t>PEROTAC - Bơm giếng SA.pdf, tr.9 (hãng khác: REDPUMP)</t>
        </is>
      </c>
      <c r="Y16" s="14" t="inlineStr">
        <is>
          <t>Có giá AQUARIS nhưng catalogue AQUARIS không có mã này</t>
        </is>
      </c>
    </row>
    <row r="17" ht="18" customHeight="1" s="1">
      <c r="A17" s="8" t="n">
        <v>20</v>
      </c>
      <c r="B17" s="8" t="inlineStr">
        <is>
          <t>4SA4/24</t>
        </is>
      </c>
      <c r="C17" s="8" t="n">
        <v>2.2</v>
      </c>
      <c r="D17" s="8" t="n">
        <v>48</v>
      </c>
      <c r="E17" s="8" t="n">
        <v>6</v>
      </c>
      <c r="F17" s="8" t="n">
        <v>174</v>
      </c>
      <c r="G17" s="9">
        <f>CEILING(O17*1.1,50000)</f>
        <v/>
      </c>
      <c r="H17" s="10">
        <f>CEILING(P17*1.15,50000)</f>
        <v/>
      </c>
      <c r="I17" s="11" t="n">
        <v>9600000</v>
      </c>
      <c r="J17" s="16" t="n">
        <v>3402000</v>
      </c>
      <c r="K17" s="12" t="n">
        <v>1360800</v>
      </c>
      <c r="L17" s="12" t="n">
        <v>2041200</v>
      </c>
      <c r="M17" s="12" t="n">
        <v>8424000</v>
      </c>
      <c r="N17" s="46" t="n"/>
      <c r="O17" s="13" t="n">
        <v>3900000</v>
      </c>
      <c r="P17" s="13" t="n">
        <v>4800000</v>
      </c>
      <c r="Q17" s="8" t="inlineStr">
        <is>
          <t>Có</t>
        </is>
      </c>
      <c r="R17" s="8" t="inlineStr">
        <is>
          <t>Có</t>
        </is>
      </c>
      <c r="S17" s="44" t="inlineStr">
        <is>
          <t>Không có</t>
        </is>
      </c>
      <c r="T17" s="8" t="inlineStr">
        <is>
          <t>Không có</t>
        </is>
      </c>
      <c r="U17" s="8" t="inlineStr">
        <is>
          <t>Không có</t>
        </is>
      </c>
      <c r="V17" s="8" t="inlineStr">
        <is>
          <t>Không có</t>
        </is>
      </c>
      <c r="W17" s="8" t="inlineStr">
        <is>
          <t>1.5 in</t>
        </is>
      </c>
      <c r="X17" s="8" t="inlineStr">
        <is>
          <t>PEROTAC - Bơm giếng SA.pdf, tr.9 (hãng khác: REDPUMP)</t>
        </is>
      </c>
      <c r="Y17" s="8" t="inlineStr">
        <is>
          <t>Có giá AQUARIS nhưng catalogue AQUARIS không có mã này</t>
        </is>
      </c>
    </row>
    <row r="18" ht="18" customHeight="1" s="1">
      <c r="A18" s="14" t="n">
        <v>21</v>
      </c>
      <c r="B18" s="14" t="inlineStr">
        <is>
          <t>4SA4/32</t>
        </is>
      </c>
      <c r="C18" s="14" t="n">
        <v>3</v>
      </c>
      <c r="D18" s="14" t="n">
        <v>48</v>
      </c>
      <c r="E18" s="14" t="n">
        <v>6</v>
      </c>
      <c r="F18" s="14" t="n">
        <v>232</v>
      </c>
      <c r="G18" s="9">
        <f>CEILING(O18*1.1,50000)</f>
        <v/>
      </c>
      <c r="H18" s="10">
        <f>CEILING(P18*1.15,50000)</f>
        <v/>
      </c>
      <c r="I18" s="11" t="n">
        <v>13000000</v>
      </c>
      <c r="J18" s="16" t="n">
        <v>4635000</v>
      </c>
      <c r="K18" s="15" t="n">
        <v>1854000</v>
      </c>
      <c r="L18" s="15" t="n">
        <v>2781000</v>
      </c>
      <c r="M18" s="15" t="n">
        <v>10800000</v>
      </c>
      <c r="N18" s="46" t="n"/>
      <c r="O18" s="13" t="n">
        <v>5400000</v>
      </c>
      <c r="P18" s="13" t="n">
        <v>6500000</v>
      </c>
      <c r="Q18" s="14" t="inlineStr">
        <is>
          <t>Có</t>
        </is>
      </c>
      <c r="R18" s="14" t="inlineStr">
        <is>
          <t>Có</t>
        </is>
      </c>
      <c r="S18" s="14" t="inlineStr">
        <is>
          <t>Có</t>
        </is>
      </c>
      <c r="T18" s="14" t="n">
        <v>3</v>
      </c>
      <c r="U18" s="14" t="n">
        <v>6</v>
      </c>
      <c r="V18" s="43" t="n">
        <v>220</v>
      </c>
      <c r="W18" s="14" t="inlineStr">
        <is>
          <t>1.5 in</t>
        </is>
      </c>
      <c r="X18" s="14" t="inlineStr">
        <is>
          <t>PEROTAC - Bơm giếng SA.pdf, tr.9 (hãng khác: AQUARIS, REDPUMP)</t>
        </is>
      </c>
      <c r="Y18" s="14" t="inlineStr">
        <is>
          <t>Thông số AQUARIS khác PEROTAC (xem cột riêng)</t>
        </is>
      </c>
    </row>
    <row r="19" ht="18" customHeight="1" s="1">
      <c r="A19" s="8" t="n">
        <v>22</v>
      </c>
      <c r="B19" s="8" t="inlineStr">
        <is>
          <t>4SA4/40</t>
        </is>
      </c>
      <c r="C19" s="8" t="n">
        <v>4</v>
      </c>
      <c r="D19" s="8" t="n">
        <v>48</v>
      </c>
      <c r="E19" s="8" t="n">
        <v>6</v>
      </c>
      <c r="F19" s="8" t="n">
        <v>290</v>
      </c>
      <c r="G19" s="9">
        <f>CEILING(O19*1.1,50000)</f>
        <v/>
      </c>
      <c r="H19" s="10">
        <f>CEILING(P19*1.15,50000)</f>
        <v/>
      </c>
      <c r="I19" s="11" t="n">
        <v>14600000</v>
      </c>
      <c r="J19" s="16" t="n">
        <v>5193000</v>
      </c>
      <c r="K19" s="12" t="n">
        <v>2077200</v>
      </c>
      <c r="L19" s="12" t="n">
        <v>3115800</v>
      </c>
      <c r="M19" s="12" t="n">
        <v>12600000</v>
      </c>
      <c r="N19" s="46" t="n"/>
      <c r="O19" s="13" t="n">
        <v>6000000</v>
      </c>
      <c r="P19" s="13" t="n">
        <v>7300000</v>
      </c>
      <c r="Q19" s="8" t="inlineStr">
        <is>
          <t>Có</t>
        </is>
      </c>
      <c r="R19" s="8" t="inlineStr">
        <is>
          <t>Có</t>
        </is>
      </c>
      <c r="S19" s="8" t="inlineStr">
        <is>
          <t>Có</t>
        </is>
      </c>
      <c r="T19" s="8" t="n">
        <v>4</v>
      </c>
      <c r="U19" s="8" t="n">
        <v>6</v>
      </c>
      <c r="V19" s="43" t="n">
        <v>275</v>
      </c>
      <c r="W19" s="8" t="inlineStr">
        <is>
          <t>1.5 in</t>
        </is>
      </c>
      <c r="X19" s="8" t="inlineStr">
        <is>
          <t>PEROTAC - Bơm giếng SA.pdf, tr.9 (hãng khác: AQUARIS, REDPUMP)</t>
        </is>
      </c>
      <c r="Y19" s="8" t="inlineStr">
        <is>
          <t>Thông số AQUARIS khác PEROTAC (xem cột riêng)</t>
        </is>
      </c>
    </row>
    <row r="20" ht="18" customHeight="1" s="1">
      <c r="A20" s="14" t="n">
        <v>23</v>
      </c>
      <c r="B20" s="14" t="inlineStr">
        <is>
          <t>4SA4/50</t>
        </is>
      </c>
      <c r="C20" s="14" t="n">
        <v>5.5</v>
      </c>
      <c r="D20" s="14" t="n">
        <v>48</v>
      </c>
      <c r="E20" s="14" t="n">
        <v>6</v>
      </c>
      <c r="F20" s="14" t="n">
        <v>363</v>
      </c>
      <c r="G20" s="9">
        <f>CEILING(O20*1.1,50000)</f>
        <v/>
      </c>
      <c r="H20" s="10">
        <f>CEILING(P20*1.15,50000)</f>
        <v/>
      </c>
      <c r="I20" s="11" t="n">
        <v>18000000</v>
      </c>
      <c r="J20" s="16" t="n">
        <v>6426000</v>
      </c>
      <c r="K20" s="15" t="n">
        <v>2570400</v>
      </c>
      <c r="L20" s="15" t="n">
        <v>3855600</v>
      </c>
      <c r="M20" s="15" t="n">
        <v>14112000</v>
      </c>
      <c r="N20" s="46" t="n"/>
      <c r="O20" s="13" t="n">
        <v>7400000</v>
      </c>
      <c r="P20" s="13" t="n">
        <v>9000000</v>
      </c>
      <c r="Q20" s="14" t="inlineStr">
        <is>
          <t>Có</t>
        </is>
      </c>
      <c r="R20" s="14" t="inlineStr">
        <is>
          <t>Có</t>
        </is>
      </c>
      <c r="S20" s="14" t="inlineStr">
        <is>
          <t>Có</t>
        </is>
      </c>
      <c r="T20" s="14" t="n">
        <v>5.5</v>
      </c>
      <c r="U20" s="14" t="n">
        <v>6</v>
      </c>
      <c r="V20" s="43" t="n">
        <v>344</v>
      </c>
      <c r="W20" s="14" t="inlineStr">
        <is>
          <t>1.5 in</t>
        </is>
      </c>
      <c r="X20" s="14" t="inlineStr">
        <is>
          <t>PEROTAC - Bơm giếng SA.pdf, tr.9 (hãng khác: AQUARIS, REDPUMP)</t>
        </is>
      </c>
      <c r="Y20" s="14" t="inlineStr">
        <is>
          <t>Thông số AQUARIS khác PEROTAC (xem cột riêng)</t>
        </is>
      </c>
    </row>
    <row r="21" ht="18" customHeight="1" s="1">
      <c r="A21" s="14" t="n">
        <v>27</v>
      </c>
      <c r="B21" s="14" t="inlineStr">
        <is>
          <t>4SA6/11</t>
        </is>
      </c>
      <c r="C21" s="14" t="n">
        <v>1.1</v>
      </c>
      <c r="D21" s="14" t="n">
        <v>48</v>
      </c>
      <c r="E21" s="14" t="n">
        <v>8.4</v>
      </c>
      <c r="F21" s="14" t="n">
        <v>77</v>
      </c>
      <c r="G21" s="9">
        <f>CEILING(O21*1.1,50000)</f>
        <v/>
      </c>
      <c r="H21" s="10">
        <f>CEILING(P21*1.15,50000)</f>
        <v/>
      </c>
      <c r="I21" s="11" t="n">
        <v>6600000</v>
      </c>
      <c r="J21" s="16" t="n">
        <v>2277000</v>
      </c>
      <c r="K21" s="15" t="n">
        <v>910800</v>
      </c>
      <c r="L21" s="15" t="n">
        <v>1366200</v>
      </c>
      <c r="M21" s="15" t="n">
        <v>6480000</v>
      </c>
      <c r="N21" s="46" t="n"/>
      <c r="O21" s="13" t="n">
        <v>2700000</v>
      </c>
      <c r="P21" s="13" t="n">
        <v>3300000</v>
      </c>
      <c r="Q21" s="14" t="inlineStr">
        <is>
          <t>Có</t>
        </is>
      </c>
      <c r="R21" s="14" t="inlineStr">
        <is>
          <t>Có</t>
        </is>
      </c>
      <c r="S21" s="14" t="inlineStr">
        <is>
          <t>Có</t>
        </is>
      </c>
      <c r="T21" s="14" t="n">
        <v>1.1</v>
      </c>
      <c r="U21" s="43" t="n">
        <v>9.6</v>
      </c>
      <c r="V21" s="43" t="n">
        <v>69</v>
      </c>
      <c r="W21" s="14" t="inlineStr">
        <is>
          <t>1.5 in</t>
        </is>
      </c>
      <c r="X21" s="14" t="inlineStr">
        <is>
          <t>PEROTAC - Bơm giếng SA.pdf, tr.10 (hãng khác: AQUARIS, REDPUMP)</t>
        </is>
      </c>
      <c r="Y21" s="14" t="inlineStr">
        <is>
          <t>Thông số AQUARIS khác PEROTAC (xem cột riêng)</t>
        </is>
      </c>
    </row>
    <row r="22" ht="18" customHeight="1" s="1">
      <c r="A22" s="14" t="n">
        <v>29</v>
      </c>
      <c r="B22" s="14" t="inlineStr">
        <is>
          <t>4SA6/15</t>
        </is>
      </c>
      <c r="C22" s="14" t="n">
        <v>1.5</v>
      </c>
      <c r="D22" s="14" t="n">
        <v>48</v>
      </c>
      <c r="E22" s="14" t="n">
        <v>8.4</v>
      </c>
      <c r="F22" s="14" t="n">
        <v>105</v>
      </c>
      <c r="G22" s="9">
        <f>CEILING(O22*1.1,50000)</f>
        <v/>
      </c>
      <c r="H22" s="10">
        <f>CEILING(P22*1.15,50000)</f>
        <v/>
      </c>
      <c r="I22" s="11" t="n">
        <v>7400000</v>
      </c>
      <c r="J22" s="16" t="n">
        <v>2601000</v>
      </c>
      <c r="K22" s="15" t="n">
        <v>1040400</v>
      </c>
      <c r="L22" s="15" t="n">
        <v>1560600</v>
      </c>
      <c r="M22" s="15" t="n">
        <v>7128000</v>
      </c>
      <c r="N22" s="46" t="n"/>
      <c r="O22" s="13" t="n">
        <v>3100000</v>
      </c>
      <c r="P22" s="13" t="n">
        <v>3700000</v>
      </c>
      <c r="Q22" s="14" t="inlineStr">
        <is>
          <t>Có</t>
        </is>
      </c>
      <c r="R22" s="14" t="inlineStr">
        <is>
          <t>Có</t>
        </is>
      </c>
      <c r="S22" s="44" t="inlineStr">
        <is>
          <t>Không có</t>
        </is>
      </c>
      <c r="T22" s="14" t="inlineStr">
        <is>
          <t>Không có</t>
        </is>
      </c>
      <c r="U22" s="14" t="inlineStr">
        <is>
          <t>Không có</t>
        </is>
      </c>
      <c r="V22" s="14" t="inlineStr">
        <is>
          <t>Không có</t>
        </is>
      </c>
      <c r="W22" s="14" t="inlineStr">
        <is>
          <t>1.5 in</t>
        </is>
      </c>
      <c r="X22" s="14" t="inlineStr">
        <is>
          <t>PEROTAC - Bơm giếng SA.pdf, tr.10 (hãng khác: REDPUMP)</t>
        </is>
      </c>
      <c r="Y22" s="14" t="inlineStr">
        <is>
          <t>Có giá AQUARIS nhưng catalogue AQUARIS không có mã này</t>
        </is>
      </c>
    </row>
    <row r="23" ht="18" customHeight="1" s="1">
      <c r="A23" s="8" t="n">
        <v>30</v>
      </c>
      <c r="B23" s="8" t="inlineStr">
        <is>
          <t>4SA6/20</t>
        </is>
      </c>
      <c r="C23" s="8" t="n">
        <v>2.2</v>
      </c>
      <c r="D23" s="8" t="n">
        <v>48</v>
      </c>
      <c r="E23" s="8" t="n">
        <v>8.4</v>
      </c>
      <c r="F23" s="8" t="n">
        <v>140</v>
      </c>
      <c r="G23" s="9">
        <f>CEILING(O23*1.1,50000)</f>
        <v/>
      </c>
      <c r="H23" s="10">
        <f>CEILING(P23*1.15,50000)</f>
        <v/>
      </c>
      <c r="I23" s="11" t="n">
        <v>9600000</v>
      </c>
      <c r="J23" s="16" t="n">
        <v>3402000</v>
      </c>
      <c r="K23" s="12" t="n">
        <v>1360800</v>
      </c>
      <c r="L23" s="12" t="n">
        <v>2041200</v>
      </c>
      <c r="M23" s="12" t="n">
        <v>8424000</v>
      </c>
      <c r="N23" s="46" t="n"/>
      <c r="O23" s="13" t="n">
        <v>3900000</v>
      </c>
      <c r="P23" s="13" t="n">
        <v>4800000</v>
      </c>
      <c r="Q23" s="8" t="inlineStr">
        <is>
          <t>Có</t>
        </is>
      </c>
      <c r="R23" s="8" t="inlineStr">
        <is>
          <t>Có</t>
        </is>
      </c>
      <c r="S23" s="8" t="inlineStr">
        <is>
          <t>Có</t>
        </is>
      </c>
      <c r="T23" s="8" t="n">
        <v>2.2</v>
      </c>
      <c r="U23" s="43" t="n">
        <v>9.6</v>
      </c>
      <c r="V23" s="43" t="n">
        <v>126</v>
      </c>
      <c r="W23" s="8" t="inlineStr">
        <is>
          <t>1.5 in</t>
        </is>
      </c>
      <c r="X23" s="8" t="inlineStr">
        <is>
          <t>PEROTAC - Bơm giếng SA.pdf, tr.10 (hãng khác: AQUARIS, REDPUMP)</t>
        </is>
      </c>
      <c r="Y23" s="8" t="inlineStr">
        <is>
          <t>Thông số AQUARIS khác PEROTAC (xem cột riêng)</t>
        </is>
      </c>
    </row>
    <row r="24" ht="18" customHeight="1" s="1">
      <c r="A24" s="14" t="n">
        <v>31</v>
      </c>
      <c r="B24" s="14" t="inlineStr">
        <is>
          <t>4SA6/26</t>
        </is>
      </c>
      <c r="C24" s="14" t="n">
        <v>3</v>
      </c>
      <c r="D24" s="14" t="n">
        <v>48</v>
      </c>
      <c r="E24" s="14" t="n">
        <v>8.4</v>
      </c>
      <c r="F24" s="14" t="n">
        <v>182</v>
      </c>
      <c r="G24" s="9">
        <f>CEILING(O24*1.1,50000)</f>
        <v/>
      </c>
      <c r="H24" s="10">
        <f>CEILING(P24*1.15,50000)</f>
        <v/>
      </c>
      <c r="I24" s="11" t="n">
        <v>13000000</v>
      </c>
      <c r="J24" s="16" t="n">
        <v>4635000</v>
      </c>
      <c r="K24" s="15" t="n">
        <v>1854000</v>
      </c>
      <c r="L24" s="15" t="n">
        <v>2781000</v>
      </c>
      <c r="M24" s="15" t="n">
        <v>10800000</v>
      </c>
      <c r="N24" s="46" t="n"/>
      <c r="O24" s="13" t="n">
        <v>5400000</v>
      </c>
      <c r="P24" s="13" t="n">
        <v>6500000</v>
      </c>
      <c r="Q24" s="14" t="inlineStr">
        <is>
          <t>Có</t>
        </is>
      </c>
      <c r="R24" s="14" t="inlineStr">
        <is>
          <t>Có</t>
        </is>
      </c>
      <c r="S24" s="44" t="inlineStr">
        <is>
          <t>Không có</t>
        </is>
      </c>
      <c r="T24" s="14" t="inlineStr">
        <is>
          <t>Không có</t>
        </is>
      </c>
      <c r="U24" s="14" t="inlineStr">
        <is>
          <t>Không có</t>
        </is>
      </c>
      <c r="V24" s="14" t="inlineStr">
        <is>
          <t>Không có</t>
        </is>
      </c>
      <c r="W24" s="14" t="inlineStr">
        <is>
          <t>1.5 in</t>
        </is>
      </c>
      <c r="X24" s="14" t="inlineStr">
        <is>
          <t>PEROTAC - Bơm giếng SA.pdf, tr.10 (hãng khác: REDPUMP)</t>
        </is>
      </c>
      <c r="Y24" s="14" t="inlineStr">
        <is>
          <t>Có giá AQUARIS nhưng catalogue AQUARIS không có mã này</t>
        </is>
      </c>
    </row>
    <row r="25" ht="18" customHeight="1" s="1">
      <c r="A25" s="8" t="n">
        <v>32</v>
      </c>
      <c r="B25" s="8" t="inlineStr">
        <is>
          <t>4SA6/34</t>
        </is>
      </c>
      <c r="C25" s="8" t="n">
        <v>4</v>
      </c>
      <c r="D25" s="8" t="n">
        <v>48</v>
      </c>
      <c r="E25" s="8" t="n">
        <v>8.4</v>
      </c>
      <c r="F25" s="8" t="n">
        <v>238</v>
      </c>
      <c r="G25" s="9">
        <f>CEILING(O25*1.1,50000)</f>
        <v/>
      </c>
      <c r="H25" s="10">
        <f>CEILING(P25*1.15,50000)</f>
        <v/>
      </c>
      <c r="I25" s="11" t="n">
        <v>14600000</v>
      </c>
      <c r="J25" s="16" t="n">
        <v>5193000</v>
      </c>
      <c r="K25" s="12" t="n">
        <v>2077200</v>
      </c>
      <c r="L25" s="12" t="n">
        <v>3115800</v>
      </c>
      <c r="M25" s="12" t="n">
        <v>12600000</v>
      </c>
      <c r="N25" s="46" t="n"/>
      <c r="O25" s="13" t="n">
        <v>6000000</v>
      </c>
      <c r="P25" s="13" t="n">
        <v>7300000</v>
      </c>
      <c r="Q25" s="8" t="inlineStr">
        <is>
          <t>Có</t>
        </is>
      </c>
      <c r="R25" s="8" t="inlineStr">
        <is>
          <t>Có</t>
        </is>
      </c>
      <c r="S25" s="44" t="inlineStr">
        <is>
          <t>Không có</t>
        </is>
      </c>
      <c r="T25" s="8" t="inlineStr">
        <is>
          <t>Không có</t>
        </is>
      </c>
      <c r="U25" s="8" t="inlineStr">
        <is>
          <t>Không có</t>
        </is>
      </c>
      <c r="V25" s="8" t="inlineStr">
        <is>
          <t>Không có</t>
        </is>
      </c>
      <c r="W25" s="8" t="inlineStr">
        <is>
          <t>1.5 in</t>
        </is>
      </c>
      <c r="X25" s="8" t="inlineStr">
        <is>
          <t>PEROTAC - Bơm giếng SA.pdf, tr.10 (hãng khác: REDPUMP)</t>
        </is>
      </c>
      <c r="Y25" s="8" t="inlineStr">
        <is>
          <t>Có giá AQUARIS nhưng catalogue AQUARIS không có mã này</t>
        </is>
      </c>
    </row>
    <row r="26" ht="18" customHeight="1" s="1">
      <c r="A26" s="14" t="n">
        <v>33</v>
      </c>
      <c r="B26" s="14" t="inlineStr">
        <is>
          <t>4SA6/42</t>
        </is>
      </c>
      <c r="C26" s="14" t="n">
        <v>5.5</v>
      </c>
      <c r="D26" s="14" t="n">
        <v>48</v>
      </c>
      <c r="E26" s="14" t="n">
        <v>8.4</v>
      </c>
      <c r="F26" s="14" t="n">
        <v>294</v>
      </c>
      <c r="G26" s="9">
        <f>CEILING(O26*1.1,50000)</f>
        <v/>
      </c>
      <c r="H26" s="10">
        <f>CEILING(P26*1.15,50000)</f>
        <v/>
      </c>
      <c r="I26" s="11" t="n">
        <v>18000000</v>
      </c>
      <c r="J26" s="16" t="n">
        <v>6426000</v>
      </c>
      <c r="K26" s="15" t="n">
        <v>2570400</v>
      </c>
      <c r="L26" s="15" t="n">
        <v>3855600</v>
      </c>
      <c r="M26" s="15" t="n">
        <v>14112000</v>
      </c>
      <c r="N26" s="46" t="n"/>
      <c r="O26" s="13" t="n">
        <v>7400000</v>
      </c>
      <c r="P26" s="13" t="n">
        <v>9000000</v>
      </c>
      <c r="Q26" s="14" t="inlineStr">
        <is>
          <t>Có</t>
        </is>
      </c>
      <c r="R26" s="14" t="inlineStr">
        <is>
          <t>Có</t>
        </is>
      </c>
      <c r="S26" s="44" t="inlineStr">
        <is>
          <t>Không có</t>
        </is>
      </c>
      <c r="T26" s="14" t="inlineStr">
        <is>
          <t>Không có</t>
        </is>
      </c>
      <c r="U26" s="14" t="inlineStr">
        <is>
          <t>Không có</t>
        </is>
      </c>
      <c r="V26" s="14" t="inlineStr">
        <is>
          <t>Không có</t>
        </is>
      </c>
      <c r="W26" s="14" t="inlineStr">
        <is>
          <t>1.5 in</t>
        </is>
      </c>
      <c r="X26" s="14" t="inlineStr">
        <is>
          <t>PEROTAC - Bơm giếng SA.pdf, tr.10 (hãng khác: REDPUMP)</t>
        </is>
      </c>
      <c r="Y26" s="14" t="inlineStr">
        <is>
          <t>Có giá AQUARIS nhưng catalogue AQUARIS không có mã này</t>
        </is>
      </c>
    </row>
    <row r="27" ht="18" customHeight="1" s="1">
      <c r="A27" s="8" t="n">
        <v>34</v>
      </c>
      <c r="B27" s="8" t="inlineStr">
        <is>
          <t>4SA6/52</t>
        </is>
      </c>
      <c r="C27" s="8" t="n">
        <v>7.5</v>
      </c>
      <c r="D27" s="8" t="n">
        <v>48</v>
      </c>
      <c r="E27" s="8" t="n">
        <v>8.4</v>
      </c>
      <c r="F27" s="8" t="n">
        <v>364</v>
      </c>
      <c r="G27" s="9">
        <f>CEILING(O27*1.1,50000)</f>
        <v/>
      </c>
      <c r="H27" s="10">
        <f>CEILING(P27*1.15,50000)</f>
        <v/>
      </c>
      <c r="I27" s="11" t="n">
        <v>21000000</v>
      </c>
      <c r="J27" s="16" t="n">
        <v>7380000</v>
      </c>
      <c r="K27" s="12" t="n">
        <v>2952000</v>
      </c>
      <c r="L27" s="12" t="n">
        <v>4428000</v>
      </c>
      <c r="M27" s="12" t="n">
        <v>19152000</v>
      </c>
      <c r="N27" s="46" t="n"/>
      <c r="O27" s="13" t="n">
        <v>8900000</v>
      </c>
      <c r="P27" s="13" t="n">
        <v>10500000</v>
      </c>
      <c r="Q27" s="8" t="inlineStr">
        <is>
          <t>Có</t>
        </is>
      </c>
      <c r="R27" s="8" t="inlineStr">
        <is>
          <t>Có</t>
        </is>
      </c>
      <c r="S27" s="8" t="inlineStr">
        <is>
          <t>Có</t>
        </is>
      </c>
      <c r="T27" s="8" t="n">
        <v>7.5</v>
      </c>
      <c r="U27" s="43" t="n">
        <v>9.6</v>
      </c>
      <c r="V27" s="43" t="n">
        <v>328</v>
      </c>
      <c r="W27" s="8" t="inlineStr">
        <is>
          <t>1.5 in</t>
        </is>
      </c>
      <c r="X27" s="8" t="inlineStr">
        <is>
          <t>PEROTAC - Bơm giếng SA.pdf, tr.10 (hãng khác: AQUARIS, REDPUMP)</t>
        </is>
      </c>
      <c r="Y27" s="8" t="inlineStr">
        <is>
          <t>Thông số AQUARIS khác PEROTAC (xem cột riêng)</t>
        </is>
      </c>
    </row>
    <row r="28" ht="18" customHeight="1" s="1">
      <c r="A28" s="14" t="n">
        <v>39</v>
      </c>
      <c r="B28" s="14" t="inlineStr">
        <is>
          <t>4SA8/12</t>
        </is>
      </c>
      <c r="C28" s="14" t="n">
        <v>1.5</v>
      </c>
      <c r="D28" s="14" t="n">
        <v>48</v>
      </c>
      <c r="E28" s="14" t="n">
        <v>10.8</v>
      </c>
      <c r="F28" s="14" t="n">
        <v>76</v>
      </c>
      <c r="G28" s="9">
        <f>CEILING(O28*1.1,50000)</f>
        <v/>
      </c>
      <c r="H28" s="10">
        <f>CEILING(P28*1.15,50000)</f>
        <v/>
      </c>
      <c r="I28" s="11" t="n">
        <v>7400000</v>
      </c>
      <c r="J28" s="16" t="n">
        <v>2601000</v>
      </c>
      <c r="K28" s="15" t="n">
        <v>1040400</v>
      </c>
      <c r="L28" s="15" t="n">
        <v>1560600</v>
      </c>
      <c r="M28" s="15" t="n">
        <v>7128000</v>
      </c>
      <c r="N28" s="46" t="n"/>
      <c r="O28" s="13" t="n">
        <v>3100000</v>
      </c>
      <c r="P28" s="13" t="n">
        <v>3700000</v>
      </c>
      <c r="Q28" s="14" t="inlineStr">
        <is>
          <t>Có</t>
        </is>
      </c>
      <c r="R28" s="14" t="inlineStr">
        <is>
          <t>Có</t>
        </is>
      </c>
      <c r="S28" s="44" t="inlineStr">
        <is>
          <t>Không có</t>
        </is>
      </c>
      <c r="T28" s="14" t="inlineStr">
        <is>
          <t>Không có</t>
        </is>
      </c>
      <c r="U28" s="14" t="inlineStr">
        <is>
          <t>Không có</t>
        </is>
      </c>
      <c r="V28" s="14" t="inlineStr">
        <is>
          <t>Không có</t>
        </is>
      </c>
      <c r="W28" s="14" t="inlineStr">
        <is>
          <t>1.5 in</t>
        </is>
      </c>
      <c r="X28" s="14" t="inlineStr">
        <is>
          <t>PEROTAC - Bơm giếng SA.pdf, tr.11 (hãng khác: REDPUMP)</t>
        </is>
      </c>
      <c r="Y28" s="14" t="inlineStr">
        <is>
          <t>Có giá AQUARIS nhưng catalogue AQUARIS không có mã này</t>
        </is>
      </c>
    </row>
    <row r="29" ht="18" customHeight="1" s="1">
      <c r="A29" s="8" t="n">
        <v>40</v>
      </c>
      <c r="B29" s="8" t="inlineStr">
        <is>
          <t>4SA8/17</t>
        </is>
      </c>
      <c r="C29" s="8" t="n">
        <v>2.2</v>
      </c>
      <c r="D29" s="8" t="n">
        <v>48</v>
      </c>
      <c r="E29" s="8" t="n">
        <v>10.8</v>
      </c>
      <c r="F29" s="8" t="n">
        <v>107</v>
      </c>
      <c r="G29" s="9">
        <f>CEILING(O29*1.1,50000)</f>
        <v/>
      </c>
      <c r="H29" s="10">
        <f>CEILING(P29*1.15,50000)</f>
        <v/>
      </c>
      <c r="I29" s="11" t="n">
        <v>9600000</v>
      </c>
      <c r="J29" s="16" t="n">
        <v>3402000</v>
      </c>
      <c r="K29" s="12" t="n">
        <v>1360800</v>
      </c>
      <c r="L29" s="12" t="n">
        <v>2041200</v>
      </c>
      <c r="M29" s="12" t="n">
        <v>8424000</v>
      </c>
      <c r="N29" s="46" t="n"/>
      <c r="O29" s="13" t="n">
        <v>3900000</v>
      </c>
      <c r="P29" s="13" t="n">
        <v>4800000</v>
      </c>
      <c r="Q29" s="8" t="inlineStr">
        <is>
          <t>Có</t>
        </is>
      </c>
      <c r="R29" s="8" t="inlineStr">
        <is>
          <t>Có</t>
        </is>
      </c>
      <c r="S29" s="44" t="inlineStr">
        <is>
          <t>Không có</t>
        </is>
      </c>
      <c r="T29" s="8" t="inlineStr">
        <is>
          <t>Không có</t>
        </is>
      </c>
      <c r="U29" s="8" t="inlineStr">
        <is>
          <t>Không có</t>
        </is>
      </c>
      <c r="V29" s="8" t="inlineStr">
        <is>
          <t>Không có</t>
        </is>
      </c>
      <c r="W29" s="8" t="inlineStr">
        <is>
          <t>1.5 in</t>
        </is>
      </c>
      <c r="X29" s="8" t="inlineStr">
        <is>
          <t>PEROTAC - Bơm giếng SA.pdf, tr.11 (hãng khác: REDPUMP)</t>
        </is>
      </c>
      <c r="Y29" s="8" t="inlineStr">
        <is>
          <t>Có giá AQUARIS nhưng catalogue AQUARIS không có mã này</t>
        </is>
      </c>
    </row>
    <row r="30" ht="18" customHeight="1" s="1">
      <c r="A30" s="14" t="n">
        <v>41</v>
      </c>
      <c r="B30" s="14" t="inlineStr">
        <is>
          <t>4SA8/23</t>
        </is>
      </c>
      <c r="C30" s="14" t="n">
        <v>3</v>
      </c>
      <c r="D30" s="14" t="n">
        <v>48</v>
      </c>
      <c r="E30" s="14" t="n">
        <v>10.8</v>
      </c>
      <c r="F30" s="14" t="n">
        <v>145</v>
      </c>
      <c r="G30" s="9">
        <f>CEILING(O30*1.1,50000)</f>
        <v/>
      </c>
      <c r="H30" s="10">
        <f>CEILING(P30*1.15,50000)</f>
        <v/>
      </c>
      <c r="I30" s="11" t="n">
        <v>13000000</v>
      </c>
      <c r="J30" s="16" t="n">
        <v>4635000</v>
      </c>
      <c r="K30" s="15" t="n">
        <v>1854000</v>
      </c>
      <c r="L30" s="15" t="n">
        <v>2781000</v>
      </c>
      <c r="M30" s="15" t="n">
        <v>10800000</v>
      </c>
      <c r="N30" s="46" t="n"/>
      <c r="O30" s="13" t="n">
        <v>5400000</v>
      </c>
      <c r="P30" s="13" t="n">
        <v>6500000</v>
      </c>
      <c r="Q30" s="14" t="inlineStr">
        <is>
          <t>Có</t>
        </is>
      </c>
      <c r="R30" s="14" t="inlineStr">
        <is>
          <t>Có</t>
        </is>
      </c>
      <c r="S30" s="44" t="inlineStr">
        <is>
          <t>Không có</t>
        </is>
      </c>
      <c r="T30" s="14" t="inlineStr">
        <is>
          <t>Không có</t>
        </is>
      </c>
      <c r="U30" s="14" t="inlineStr">
        <is>
          <t>Không có</t>
        </is>
      </c>
      <c r="V30" s="14" t="inlineStr">
        <is>
          <t>Không có</t>
        </is>
      </c>
      <c r="W30" s="14" t="inlineStr">
        <is>
          <t>1.5 in</t>
        </is>
      </c>
      <c r="X30" s="14" t="inlineStr">
        <is>
          <t>PEROTAC - Bơm giếng SA.pdf, tr.11 (hãng khác: REDPUMP)</t>
        </is>
      </c>
      <c r="Y30" s="14" t="inlineStr">
        <is>
          <t>Có giá AQUARIS nhưng catalogue AQUARIS không có mã này</t>
        </is>
      </c>
    </row>
    <row r="31" ht="18" customHeight="1" s="1">
      <c r="A31" s="8" t="n">
        <v>42</v>
      </c>
      <c r="B31" s="8" t="inlineStr">
        <is>
          <t>4SA8/29</t>
        </is>
      </c>
      <c r="C31" s="8" t="n">
        <v>4</v>
      </c>
      <c r="D31" s="8" t="n">
        <v>48</v>
      </c>
      <c r="E31" s="8" t="n">
        <v>10.8</v>
      </c>
      <c r="F31" s="8" t="n">
        <v>183</v>
      </c>
      <c r="G31" s="9">
        <f>CEILING(O31*1.1,50000)</f>
        <v/>
      </c>
      <c r="H31" s="10">
        <f>CEILING(P31*1.15,50000)</f>
        <v/>
      </c>
      <c r="I31" s="11" t="n">
        <v>14600000</v>
      </c>
      <c r="J31" s="16" t="n">
        <v>5193000</v>
      </c>
      <c r="K31" s="12" t="n">
        <v>2077200</v>
      </c>
      <c r="L31" s="12" t="n">
        <v>3115800</v>
      </c>
      <c r="M31" s="12" t="n">
        <v>12600000</v>
      </c>
      <c r="N31" s="46" t="n"/>
      <c r="O31" s="13" t="n">
        <v>6000000</v>
      </c>
      <c r="P31" s="13" t="n">
        <v>7300000</v>
      </c>
      <c r="Q31" s="8" t="inlineStr">
        <is>
          <t>Có</t>
        </is>
      </c>
      <c r="R31" s="8" t="inlineStr">
        <is>
          <t>Có</t>
        </is>
      </c>
      <c r="S31" s="44" t="inlineStr">
        <is>
          <t>Không có</t>
        </is>
      </c>
      <c r="T31" s="8" t="inlineStr">
        <is>
          <t>Không có</t>
        </is>
      </c>
      <c r="U31" s="8" t="inlineStr">
        <is>
          <t>Không có</t>
        </is>
      </c>
      <c r="V31" s="8" t="inlineStr">
        <is>
          <t>Không có</t>
        </is>
      </c>
      <c r="W31" s="8" t="inlineStr">
        <is>
          <t>1.5 in</t>
        </is>
      </c>
      <c r="X31" s="8" t="inlineStr">
        <is>
          <t>PEROTAC - Bơm giếng SA.pdf, tr.11 (hãng khác: REDPUMP)</t>
        </is>
      </c>
      <c r="Y31" s="8" t="inlineStr">
        <is>
          <t>Có giá AQUARIS nhưng catalogue AQUARIS không có mã này</t>
        </is>
      </c>
    </row>
    <row r="32" ht="18" customHeight="1" s="1">
      <c r="A32" s="14" t="n">
        <v>43</v>
      </c>
      <c r="B32" s="14" t="inlineStr">
        <is>
          <t>4SA8/37</t>
        </is>
      </c>
      <c r="C32" s="14" t="n">
        <v>5.5</v>
      </c>
      <c r="D32" s="14" t="n">
        <v>48</v>
      </c>
      <c r="E32" s="14" t="n">
        <v>10.8</v>
      </c>
      <c r="F32" s="14" t="n">
        <v>234</v>
      </c>
      <c r="G32" s="9">
        <f>CEILING(O32*1.1,50000)</f>
        <v/>
      </c>
      <c r="H32" s="10">
        <f>CEILING(P32*1.15,50000)</f>
        <v/>
      </c>
      <c r="I32" s="11" t="n">
        <v>18000000</v>
      </c>
      <c r="J32" s="16" t="n">
        <v>6426000</v>
      </c>
      <c r="K32" s="15" t="n">
        <v>2570400</v>
      </c>
      <c r="L32" s="15" t="n">
        <v>3855600</v>
      </c>
      <c r="M32" s="15" t="n">
        <v>14112000</v>
      </c>
      <c r="N32" s="46" t="n"/>
      <c r="O32" s="13" t="n">
        <v>7400000</v>
      </c>
      <c r="P32" s="13" t="n">
        <v>9000000</v>
      </c>
      <c r="Q32" s="14" t="inlineStr">
        <is>
          <t>Có</t>
        </is>
      </c>
      <c r="R32" s="14" t="inlineStr">
        <is>
          <t>Có</t>
        </is>
      </c>
      <c r="S32" s="44" t="inlineStr">
        <is>
          <t>Không có</t>
        </is>
      </c>
      <c r="T32" s="14" t="inlineStr">
        <is>
          <t>Không có</t>
        </is>
      </c>
      <c r="U32" s="14" t="inlineStr">
        <is>
          <t>Không có</t>
        </is>
      </c>
      <c r="V32" s="14" t="inlineStr">
        <is>
          <t>Không có</t>
        </is>
      </c>
      <c r="W32" s="14" t="inlineStr">
        <is>
          <t>1.5 in</t>
        </is>
      </c>
      <c r="X32" s="14" t="inlineStr">
        <is>
          <t>PEROTAC - Bơm giếng SA.pdf, tr.11 (hãng khác: REDPUMP)</t>
        </is>
      </c>
      <c r="Y32" s="14" t="inlineStr">
        <is>
          <t>Có giá AQUARIS nhưng catalogue AQUARIS không có mã này</t>
        </is>
      </c>
    </row>
    <row r="33" ht="18" customHeight="1" s="1">
      <c r="A33" s="8" t="n">
        <v>44</v>
      </c>
      <c r="B33" s="8" t="inlineStr">
        <is>
          <t>4SA8/45</t>
        </is>
      </c>
      <c r="C33" s="8" t="n">
        <v>7.5</v>
      </c>
      <c r="D33" s="8" t="n">
        <v>48</v>
      </c>
      <c r="E33" s="8" t="n">
        <v>10.8</v>
      </c>
      <c r="F33" s="8" t="n">
        <v>284</v>
      </c>
      <c r="G33" s="9">
        <f>CEILING(O33*1.1,50000)</f>
        <v/>
      </c>
      <c r="H33" s="10">
        <f>CEILING(P33*1.15,50000)</f>
        <v/>
      </c>
      <c r="I33" s="11" t="n">
        <v>21000000</v>
      </c>
      <c r="J33" s="16" t="n">
        <v>7380000</v>
      </c>
      <c r="K33" s="12" t="n">
        <v>2952000</v>
      </c>
      <c r="L33" s="12" t="n">
        <v>4428000</v>
      </c>
      <c r="M33" s="12" t="n">
        <v>19152000</v>
      </c>
      <c r="N33" s="46" t="n"/>
      <c r="O33" s="13" t="n">
        <v>8900000</v>
      </c>
      <c r="P33" s="13" t="n">
        <v>10500000</v>
      </c>
      <c r="Q33" s="8" t="inlineStr">
        <is>
          <t>Có</t>
        </is>
      </c>
      <c r="R33" s="8" t="inlineStr">
        <is>
          <t>Có</t>
        </is>
      </c>
      <c r="S33" s="44" t="inlineStr">
        <is>
          <t>Không có</t>
        </is>
      </c>
      <c r="T33" s="8" t="inlineStr">
        <is>
          <t>Không có</t>
        </is>
      </c>
      <c r="U33" s="8" t="inlineStr">
        <is>
          <t>Không có</t>
        </is>
      </c>
      <c r="V33" s="8" t="inlineStr">
        <is>
          <t>Không có</t>
        </is>
      </c>
      <c r="W33" s="8" t="inlineStr">
        <is>
          <t>1.5 in</t>
        </is>
      </c>
      <c r="X33" s="8" t="inlineStr">
        <is>
          <t>PEROTAC - Bơm giếng SA.pdf, tr.11 (hãng khác: REDPUMP)</t>
        </is>
      </c>
      <c r="Y33" s="8" t="inlineStr">
        <is>
          <t>Có giá AQUARIS nhưng catalogue AQUARIS không có mã này</t>
        </is>
      </c>
    </row>
    <row r="34" ht="18" customHeight="1" s="1">
      <c r="A34" s="14" t="n">
        <v>49</v>
      </c>
      <c r="B34" s="14" t="inlineStr">
        <is>
          <t>4SA10/9</t>
        </is>
      </c>
      <c r="C34" s="14" t="n">
        <v>1.5</v>
      </c>
      <c r="D34" s="14" t="n">
        <v>48</v>
      </c>
      <c r="E34" s="43" t="n">
        <v>14.4</v>
      </c>
      <c r="F34" s="43" t="n">
        <v>55</v>
      </c>
      <c r="G34" s="9">
        <f>CEILING(O34*1.1,50000)</f>
        <v/>
      </c>
      <c r="H34" s="10">
        <f>CEILING(P34*1.15,50000)</f>
        <v/>
      </c>
      <c r="I34" s="11" t="n">
        <v>7400000</v>
      </c>
      <c r="J34" s="16" t="n">
        <v>2601000</v>
      </c>
      <c r="K34" s="15" t="n">
        <v>1040400</v>
      </c>
      <c r="L34" s="15" t="n">
        <v>1560600</v>
      </c>
      <c r="M34" s="15" t="n">
        <v>7128000</v>
      </c>
      <c r="N34" s="46" t="n"/>
      <c r="O34" s="13" t="n">
        <v>3100000</v>
      </c>
      <c r="P34" s="13" t="n">
        <v>3700000</v>
      </c>
      <c r="Q34" s="44" t="inlineStr">
        <is>
          <t>Không có</t>
        </is>
      </c>
      <c r="R34" s="44" t="inlineStr">
        <is>
          <t>Không có</t>
        </is>
      </c>
      <c r="S34" s="14" t="inlineStr">
        <is>
          <t>Có</t>
        </is>
      </c>
      <c r="T34" s="14" t="n">
        <v>1.5</v>
      </c>
      <c r="U34" s="14" t="n">
        <v>14.4</v>
      </c>
      <c r="V34" s="14" t="n">
        <v>55</v>
      </c>
      <c r="W34" s="14" t="inlineStr">
        <is>
          <t>1.5 in</t>
        </is>
      </c>
      <c r="X34" s="14" t="inlineStr">
        <is>
          <t>AQUARIS - Bơm giếng SA.pdf, tr.7</t>
        </is>
      </c>
    </row>
    <row r="35" ht="18" customHeight="1" s="1">
      <c r="A35" s="8" t="n">
        <v>50</v>
      </c>
      <c r="B35" s="8" t="inlineStr">
        <is>
          <t>4SA10/13</t>
        </is>
      </c>
      <c r="C35" s="8" t="n">
        <v>2.2</v>
      </c>
      <c r="D35" s="8" t="n">
        <v>48</v>
      </c>
      <c r="E35" s="8" t="n">
        <v>13.8</v>
      </c>
      <c r="F35" s="8" t="n">
        <v>88</v>
      </c>
      <c r="G35" s="9">
        <f>CEILING(O35*1.1,50000)</f>
        <v/>
      </c>
      <c r="H35" s="10">
        <f>CEILING(P35*1.15,50000)</f>
        <v/>
      </c>
      <c r="I35" s="11" t="n">
        <v>9600000</v>
      </c>
      <c r="J35" s="16" t="n">
        <v>3402000</v>
      </c>
      <c r="K35" s="12" t="n">
        <v>1360800</v>
      </c>
      <c r="L35" s="12" t="n">
        <v>2041200</v>
      </c>
      <c r="M35" s="12" t="n">
        <v>8424000</v>
      </c>
      <c r="N35" s="46" t="n"/>
      <c r="O35" s="13" t="n">
        <v>3900000</v>
      </c>
      <c r="P35" s="13" t="n">
        <v>4800000</v>
      </c>
      <c r="Q35" s="8" t="inlineStr">
        <is>
          <t>Có</t>
        </is>
      </c>
      <c r="R35" s="8" t="inlineStr">
        <is>
          <t>Có</t>
        </is>
      </c>
      <c r="S35" s="8" t="inlineStr">
        <is>
          <t>Có</t>
        </is>
      </c>
      <c r="T35" s="8" t="n">
        <v>2.2</v>
      </c>
      <c r="U35" s="43" t="n">
        <v>14.4</v>
      </c>
      <c r="V35" s="43" t="n">
        <v>79</v>
      </c>
      <c r="W35" s="8" t="inlineStr">
        <is>
          <t>1.5 in</t>
        </is>
      </c>
      <c r="X35" s="8" t="inlineStr">
        <is>
          <t>PEROTAC - Bơm giếng SA.pdf, tr.12 (hãng khác: AQUARIS, REDPUMP)</t>
        </is>
      </c>
      <c r="Y35" s="8" t="inlineStr">
        <is>
          <t>Thông số AQUARIS khác PEROTAC (xem cột riêng)</t>
        </is>
      </c>
    </row>
    <row r="36" ht="18" customHeight="1" s="1">
      <c r="A36" s="14" t="n">
        <v>51</v>
      </c>
      <c r="B36" s="14" t="inlineStr">
        <is>
          <t>4SA10/17</t>
        </is>
      </c>
      <c r="C36" s="14" t="n">
        <v>3</v>
      </c>
      <c r="D36" s="14" t="n">
        <v>48</v>
      </c>
      <c r="E36" s="14" t="n">
        <v>13.8</v>
      </c>
      <c r="F36" s="14" t="n">
        <v>115</v>
      </c>
      <c r="G36" s="9">
        <f>CEILING(O36*1.1,50000)</f>
        <v/>
      </c>
      <c r="H36" s="10">
        <f>CEILING(P36*1.15,50000)</f>
        <v/>
      </c>
      <c r="I36" s="11" t="n">
        <v>13000000</v>
      </c>
      <c r="J36" s="16" t="n">
        <v>4635000</v>
      </c>
      <c r="K36" s="15" t="n">
        <v>1854000</v>
      </c>
      <c r="L36" s="15" t="n">
        <v>2781000</v>
      </c>
      <c r="M36" s="15" t="n">
        <v>10800000</v>
      </c>
      <c r="N36" s="46" t="n"/>
      <c r="O36" s="13" t="n">
        <v>5400000</v>
      </c>
      <c r="P36" s="13" t="n">
        <v>6500000</v>
      </c>
      <c r="Q36" s="14" t="inlineStr">
        <is>
          <t>Có</t>
        </is>
      </c>
      <c r="R36" s="14" t="inlineStr">
        <is>
          <t>Có</t>
        </is>
      </c>
      <c r="S36" s="44" t="inlineStr">
        <is>
          <t>Không có</t>
        </is>
      </c>
      <c r="T36" s="14" t="inlineStr">
        <is>
          <t>Không có</t>
        </is>
      </c>
      <c r="U36" s="14" t="inlineStr">
        <is>
          <t>Không có</t>
        </is>
      </c>
      <c r="V36" s="14" t="inlineStr">
        <is>
          <t>Không có</t>
        </is>
      </c>
      <c r="W36" s="14" t="inlineStr">
        <is>
          <t>1.5 in</t>
        </is>
      </c>
      <c r="X36" s="14" t="inlineStr">
        <is>
          <t>PEROTAC - Bơm giếng SA.pdf, tr.12 (hãng khác: REDPUMP)</t>
        </is>
      </c>
      <c r="Y36" s="14" t="inlineStr">
        <is>
          <t>Có giá AQUARIS nhưng catalogue AQUARIS không có mã này</t>
        </is>
      </c>
    </row>
    <row r="37" ht="18" customHeight="1" s="1">
      <c r="A37" s="8" t="n">
        <v>52</v>
      </c>
      <c r="B37" s="8" t="inlineStr">
        <is>
          <t>4SA10/21</t>
        </is>
      </c>
      <c r="C37" s="8" t="n">
        <v>4</v>
      </c>
      <c r="D37" s="8" t="n">
        <v>48</v>
      </c>
      <c r="E37" s="8" t="n">
        <v>13.8</v>
      </c>
      <c r="F37" s="8" t="n">
        <v>141</v>
      </c>
      <c r="G37" s="9">
        <f>CEILING(O37*1.1,50000)</f>
        <v/>
      </c>
      <c r="H37" s="10">
        <f>CEILING(P37*1.15,50000)</f>
        <v/>
      </c>
      <c r="I37" s="11" t="n">
        <v>14600000</v>
      </c>
      <c r="J37" s="16" t="n">
        <v>5193000</v>
      </c>
      <c r="K37" s="12" t="n">
        <v>2077200</v>
      </c>
      <c r="L37" s="12" t="n">
        <v>3115800</v>
      </c>
      <c r="M37" s="12" t="n">
        <v>12600000</v>
      </c>
      <c r="N37" s="46" t="n"/>
      <c r="O37" s="13" t="n">
        <v>6000000</v>
      </c>
      <c r="P37" s="13" t="n">
        <v>7300000</v>
      </c>
      <c r="Q37" s="8" t="inlineStr">
        <is>
          <t>Có</t>
        </is>
      </c>
      <c r="R37" s="8" t="inlineStr">
        <is>
          <t>Có</t>
        </is>
      </c>
      <c r="S37" s="44" t="inlineStr">
        <is>
          <t>Không có</t>
        </is>
      </c>
      <c r="T37" s="8" t="inlineStr">
        <is>
          <t>Không có</t>
        </is>
      </c>
      <c r="U37" s="8" t="inlineStr">
        <is>
          <t>Không có</t>
        </is>
      </c>
      <c r="V37" s="8" t="inlineStr">
        <is>
          <t>Không có</t>
        </is>
      </c>
      <c r="W37" s="8" t="inlineStr">
        <is>
          <t>1.5 in</t>
        </is>
      </c>
      <c r="X37" s="8" t="inlineStr">
        <is>
          <t>PEROTAC - Bơm giếng SA.pdf, tr.12 (hãng khác: REDPUMP)</t>
        </is>
      </c>
      <c r="Y37" s="8" t="inlineStr">
        <is>
          <t>Có giá AQUARIS nhưng catalogue AQUARIS không có mã này</t>
        </is>
      </c>
    </row>
    <row r="38" ht="18" customHeight="1" s="1">
      <c r="A38" s="14" t="n">
        <v>53</v>
      </c>
      <c r="B38" s="14" t="inlineStr">
        <is>
          <t>4SA10/27</t>
        </is>
      </c>
      <c r="C38" s="14" t="n">
        <v>5.5</v>
      </c>
      <c r="D38" s="14" t="n">
        <v>48</v>
      </c>
      <c r="E38" s="14" t="n">
        <v>13.8</v>
      </c>
      <c r="F38" s="14" t="n">
        <v>182</v>
      </c>
      <c r="G38" s="9">
        <f>CEILING(O38*1.1,50000)</f>
        <v/>
      </c>
      <c r="H38" s="10">
        <f>CEILING(P38*1.15,50000)</f>
        <v/>
      </c>
      <c r="I38" s="11" t="n">
        <v>18000000</v>
      </c>
      <c r="J38" s="16" t="n">
        <v>6426000</v>
      </c>
      <c r="K38" s="15" t="n">
        <v>2570400</v>
      </c>
      <c r="L38" s="15" t="n">
        <v>3855600</v>
      </c>
      <c r="M38" s="15" t="n">
        <v>14112000</v>
      </c>
      <c r="N38" s="46" t="n"/>
      <c r="O38" s="13" t="n">
        <v>7400000</v>
      </c>
      <c r="P38" s="13" t="n">
        <v>9000000</v>
      </c>
      <c r="Q38" s="14" t="inlineStr">
        <is>
          <t>Có</t>
        </is>
      </c>
      <c r="R38" s="14" t="inlineStr">
        <is>
          <t>Có</t>
        </is>
      </c>
      <c r="S38" s="44" t="inlineStr">
        <is>
          <t>Không có</t>
        </is>
      </c>
      <c r="T38" s="14" t="inlineStr">
        <is>
          <t>Không có</t>
        </is>
      </c>
      <c r="U38" s="14" t="inlineStr">
        <is>
          <t>Không có</t>
        </is>
      </c>
      <c r="V38" s="14" t="inlineStr">
        <is>
          <t>Không có</t>
        </is>
      </c>
      <c r="W38" s="14" t="inlineStr">
        <is>
          <t>1.5 in</t>
        </is>
      </c>
      <c r="X38" s="14" t="inlineStr">
        <is>
          <t>PEROTAC - Bơm giếng SA.pdf, tr.12 (hãng khác: REDPUMP)</t>
        </is>
      </c>
      <c r="Y38" s="14" t="inlineStr">
        <is>
          <t>Có giá AQUARIS nhưng catalogue AQUARIS không có mã này</t>
        </is>
      </c>
    </row>
    <row r="39" ht="18" customHeight="1" s="1">
      <c r="A39" s="8" t="n">
        <v>54</v>
      </c>
      <c r="B39" s="8" t="inlineStr">
        <is>
          <t>4SA10/34</t>
        </is>
      </c>
      <c r="C39" s="8" t="n">
        <v>7.5</v>
      </c>
      <c r="D39" s="8" t="n">
        <v>48</v>
      </c>
      <c r="E39" s="8" t="n">
        <v>13.8</v>
      </c>
      <c r="F39" s="8" t="n">
        <v>229</v>
      </c>
      <c r="G39" s="9">
        <f>CEILING(O39*1.1,50000)</f>
        <v/>
      </c>
      <c r="H39" s="10">
        <f>CEILING(P39*1.15,50000)</f>
        <v/>
      </c>
      <c r="I39" s="11" t="n">
        <v>21000000</v>
      </c>
      <c r="J39" s="16" t="n">
        <v>7380000</v>
      </c>
      <c r="K39" s="12" t="n">
        <v>2952000</v>
      </c>
      <c r="L39" s="12" t="n">
        <v>4428000</v>
      </c>
      <c r="M39" s="12" t="n">
        <v>19152000</v>
      </c>
      <c r="N39" s="46" t="n"/>
      <c r="O39" s="13" t="n">
        <v>8900000</v>
      </c>
      <c r="P39" s="13" t="n">
        <v>10500000</v>
      </c>
      <c r="Q39" s="8" t="inlineStr">
        <is>
          <t>Có</t>
        </is>
      </c>
      <c r="R39" s="8" t="inlineStr">
        <is>
          <t>Có</t>
        </is>
      </c>
      <c r="S39" s="44" t="inlineStr">
        <is>
          <t>Không có</t>
        </is>
      </c>
      <c r="T39" s="8" t="inlineStr">
        <is>
          <t>Không có</t>
        </is>
      </c>
      <c r="U39" s="8" t="inlineStr">
        <is>
          <t>Không có</t>
        </is>
      </c>
      <c r="V39" s="8" t="inlineStr">
        <is>
          <t>Không có</t>
        </is>
      </c>
      <c r="W39" s="8" t="inlineStr">
        <is>
          <t>1.5 in</t>
        </is>
      </c>
      <c r="X39" s="8" t="inlineStr">
        <is>
          <t>PEROTAC - Bơm giếng SA.pdf, tr.12 (hãng khác: REDPUMP)</t>
        </is>
      </c>
      <c r="Y39" s="8" t="inlineStr">
        <is>
          <t>Có giá AQUARIS nhưng catalogue AQUARIS không có mã này</t>
        </is>
      </c>
    </row>
    <row r="40" ht="18" customHeight="1" s="1">
      <c r="A40" s="14" t="n">
        <v>59</v>
      </c>
      <c r="B40" s="14" t="inlineStr">
        <is>
          <t>4SA12/12</t>
        </is>
      </c>
      <c r="C40" s="14" t="n">
        <v>2.2</v>
      </c>
      <c r="D40" s="14" t="n">
        <v>60</v>
      </c>
      <c r="E40" s="14" t="n">
        <v>16.2</v>
      </c>
      <c r="F40" s="14" t="n">
        <v>74</v>
      </c>
      <c r="G40" s="9">
        <f>CEILING(O40*1.1,50000)</f>
        <v/>
      </c>
      <c r="H40" s="10">
        <f>CEILING(P40*1.15,50000)</f>
        <v/>
      </c>
      <c r="I40" s="11" t="n">
        <v>9600000</v>
      </c>
      <c r="J40" s="16" t="n">
        <v>3402000</v>
      </c>
      <c r="K40" s="15" t="n">
        <v>1360800</v>
      </c>
      <c r="L40" s="15" t="n">
        <v>2041200</v>
      </c>
      <c r="M40" s="15" t="n">
        <v>8424000</v>
      </c>
      <c r="N40" s="46" t="n"/>
      <c r="O40" s="13" t="n">
        <v>3900000</v>
      </c>
      <c r="P40" s="13" t="n">
        <v>4800000</v>
      </c>
      <c r="Q40" s="14" t="inlineStr">
        <is>
          <t>Có</t>
        </is>
      </c>
      <c r="R40" s="14" t="inlineStr">
        <is>
          <t>Có</t>
        </is>
      </c>
      <c r="S40" s="14" t="inlineStr">
        <is>
          <t>Có</t>
        </is>
      </c>
      <c r="T40" s="14" t="n">
        <v>2.2</v>
      </c>
      <c r="U40" s="43" t="n">
        <v>16</v>
      </c>
      <c r="V40" s="43" t="n">
        <v>73</v>
      </c>
      <c r="W40" s="14" t="inlineStr">
        <is>
          <t>2 in</t>
        </is>
      </c>
      <c r="X40" s="14" t="inlineStr">
        <is>
          <t>PEROTAC - Bơm giếng SA.pdf, tr.13 (hãng khác: AQUARIS, REDPUMP)</t>
        </is>
      </c>
      <c r="Y40" s="14" t="inlineStr">
        <is>
          <t>Thông số AQUARIS khác PEROTAC (xem cột riêng)</t>
        </is>
      </c>
    </row>
    <row r="41" ht="18" customHeight="1" s="1">
      <c r="A41" s="8" t="n">
        <v>60</v>
      </c>
      <c r="B41" s="8" t="inlineStr">
        <is>
          <t>4SA12/16</t>
        </is>
      </c>
      <c r="C41" s="8" t="n">
        <v>3</v>
      </c>
      <c r="D41" s="8" t="n">
        <v>60</v>
      </c>
      <c r="E41" s="8" t="n">
        <v>16.2</v>
      </c>
      <c r="F41" s="8" t="n">
        <v>98</v>
      </c>
      <c r="G41" s="9">
        <f>CEILING(O41*1.1,50000)</f>
        <v/>
      </c>
      <c r="H41" s="10">
        <f>CEILING(P41*1.15,50000)</f>
        <v/>
      </c>
      <c r="I41" s="11" t="n">
        <v>13000000</v>
      </c>
      <c r="J41" s="16" t="n">
        <v>4635000</v>
      </c>
      <c r="K41" s="12" t="n">
        <v>1854000</v>
      </c>
      <c r="L41" s="12" t="n">
        <v>2781000</v>
      </c>
      <c r="M41" s="12" t="n">
        <v>10800000</v>
      </c>
      <c r="N41" s="46" t="n"/>
      <c r="O41" s="13" t="n">
        <v>5400000</v>
      </c>
      <c r="P41" s="13" t="n">
        <v>6500000</v>
      </c>
      <c r="Q41" s="8" t="inlineStr">
        <is>
          <t>Có</t>
        </is>
      </c>
      <c r="R41" s="8" t="inlineStr">
        <is>
          <t>Có</t>
        </is>
      </c>
      <c r="S41" s="8" t="inlineStr">
        <is>
          <t>Có</t>
        </is>
      </c>
      <c r="T41" s="8" t="n">
        <v>3</v>
      </c>
      <c r="U41" s="43" t="n">
        <v>16</v>
      </c>
      <c r="V41" s="8" t="n">
        <v>98</v>
      </c>
      <c r="W41" s="8" t="inlineStr">
        <is>
          <t>2 in</t>
        </is>
      </c>
      <c r="X41" s="8" t="inlineStr">
        <is>
          <t>PEROTAC - Bơm giếng SA.pdf, tr.13 (hãng khác: AQUARIS, REDPUMP)</t>
        </is>
      </c>
      <c r="Y41" s="8" t="inlineStr">
        <is>
          <t>Thông số AQUARIS khác PEROTAC (xem cột riêng)</t>
        </is>
      </c>
    </row>
    <row r="42" ht="18" customHeight="1" s="1">
      <c r="A42" s="14" t="n">
        <v>61</v>
      </c>
      <c r="B42" s="14" t="inlineStr">
        <is>
          <t>4SA12/20</t>
        </is>
      </c>
      <c r="C42" s="14" t="n">
        <v>4</v>
      </c>
      <c r="D42" s="14" t="n">
        <v>60</v>
      </c>
      <c r="E42" s="14" t="n">
        <v>16.2</v>
      </c>
      <c r="F42" s="14" t="n">
        <v>123</v>
      </c>
      <c r="G42" s="9">
        <f>CEILING(O42*1.1,50000)</f>
        <v/>
      </c>
      <c r="H42" s="10">
        <f>CEILING(P42*1.15,50000)</f>
        <v/>
      </c>
      <c r="I42" s="11" t="n">
        <v>14600000</v>
      </c>
      <c r="J42" s="16" t="n">
        <v>5193000</v>
      </c>
      <c r="K42" s="15" t="n">
        <v>2077200</v>
      </c>
      <c r="L42" s="15" t="n">
        <v>3115800</v>
      </c>
      <c r="M42" s="15" t="n">
        <v>12600000</v>
      </c>
      <c r="N42" s="46" t="n"/>
      <c r="O42" s="13" t="n">
        <v>6000000</v>
      </c>
      <c r="P42" s="13" t="n">
        <v>7300000</v>
      </c>
      <c r="Q42" s="14" t="inlineStr">
        <is>
          <t>Có</t>
        </is>
      </c>
      <c r="R42" s="14" t="inlineStr">
        <is>
          <t>Có</t>
        </is>
      </c>
      <c r="S42" s="14" t="inlineStr">
        <is>
          <t>Có</t>
        </is>
      </c>
      <c r="T42" s="14" t="n">
        <v>4</v>
      </c>
      <c r="U42" s="43" t="n">
        <v>16</v>
      </c>
      <c r="V42" s="14" t="n">
        <v>123</v>
      </c>
      <c r="W42" s="14" t="inlineStr">
        <is>
          <t>2 in</t>
        </is>
      </c>
      <c r="X42" s="14" t="inlineStr">
        <is>
          <t>PEROTAC - Bơm giếng SA.pdf, tr.13 (hãng khác: AQUARIS, REDPUMP)</t>
        </is>
      </c>
      <c r="Y42" s="14" t="inlineStr">
        <is>
          <t>Thông số AQUARIS khác PEROTAC (xem cột riêng)</t>
        </is>
      </c>
    </row>
    <row r="43" ht="18" customHeight="1" s="1">
      <c r="A43" s="8" t="n">
        <v>62</v>
      </c>
      <c r="B43" s="8" t="inlineStr">
        <is>
          <t>4SA12/26</t>
        </is>
      </c>
      <c r="C43" s="8" t="n">
        <v>5.5</v>
      </c>
      <c r="D43" s="8" t="n">
        <v>60</v>
      </c>
      <c r="E43" s="8" t="n">
        <v>16.2</v>
      </c>
      <c r="F43" s="8" t="n">
        <v>159</v>
      </c>
      <c r="G43" s="9">
        <f>CEILING(O43*1.1,50000)</f>
        <v/>
      </c>
      <c r="H43" s="10">
        <f>CEILING(P43*1.15,50000)</f>
        <v/>
      </c>
      <c r="I43" s="11" t="n">
        <v>18000000</v>
      </c>
      <c r="J43" s="16" t="n">
        <v>6426000</v>
      </c>
      <c r="K43" s="12" t="n">
        <v>2570400</v>
      </c>
      <c r="L43" s="12" t="n">
        <v>3855600</v>
      </c>
      <c r="M43" s="12" t="n">
        <v>14112000</v>
      </c>
      <c r="N43" s="46" t="n"/>
      <c r="O43" s="13" t="n">
        <v>7400000</v>
      </c>
      <c r="P43" s="13" t="n">
        <v>9000000</v>
      </c>
      <c r="Q43" s="8" t="inlineStr">
        <is>
          <t>Có</t>
        </is>
      </c>
      <c r="R43" s="8" t="inlineStr">
        <is>
          <t>Có</t>
        </is>
      </c>
      <c r="S43" s="8" t="inlineStr">
        <is>
          <t>Có</t>
        </is>
      </c>
      <c r="T43" s="8" t="n">
        <v>5.5</v>
      </c>
      <c r="U43" s="43" t="n">
        <v>16</v>
      </c>
      <c r="V43" s="8" t="n">
        <v>159</v>
      </c>
      <c r="W43" s="8" t="inlineStr">
        <is>
          <t>2 in</t>
        </is>
      </c>
      <c r="X43" s="8" t="inlineStr">
        <is>
          <t>PEROTAC - Bơm giếng SA.pdf, tr.13 (hãng khác: AQUARIS, REDPUMP)</t>
        </is>
      </c>
      <c r="Y43" s="8" t="inlineStr">
        <is>
          <t>Thông số AQUARIS khác PEROTAC (xem cột riêng)</t>
        </is>
      </c>
    </row>
    <row r="44" ht="18" customHeight="1" s="1">
      <c r="A44" s="14" t="n">
        <v>63</v>
      </c>
      <c r="B44" s="14" t="inlineStr">
        <is>
          <t>4SA12/32</t>
        </is>
      </c>
      <c r="C44" s="14" t="n">
        <v>7.5</v>
      </c>
      <c r="D44" s="14" t="n">
        <v>60</v>
      </c>
      <c r="E44" s="14" t="n">
        <v>16.2</v>
      </c>
      <c r="F44" s="14" t="n">
        <v>196</v>
      </c>
      <c r="G44" s="9">
        <f>CEILING(O44*1.1,50000)</f>
        <v/>
      </c>
      <c r="H44" s="10">
        <f>CEILING(P44*1.15,50000)</f>
        <v/>
      </c>
      <c r="I44" s="11" t="n">
        <v>21000000</v>
      </c>
      <c r="J44" s="16" t="n">
        <v>7380000</v>
      </c>
      <c r="K44" s="15" t="n">
        <v>2952000</v>
      </c>
      <c r="L44" s="15" t="n">
        <v>4428000</v>
      </c>
      <c r="M44" s="15" t="n">
        <v>19152000</v>
      </c>
      <c r="N44" s="46" t="n"/>
      <c r="O44" s="13" t="n">
        <v>8900000</v>
      </c>
      <c r="P44" s="13" t="n">
        <v>10500000</v>
      </c>
      <c r="Q44" s="14" t="inlineStr">
        <is>
          <t>Có</t>
        </is>
      </c>
      <c r="R44" s="14" t="inlineStr">
        <is>
          <t>Có</t>
        </is>
      </c>
      <c r="S44" s="14" t="inlineStr">
        <is>
          <t>Có</t>
        </is>
      </c>
      <c r="T44" s="14" t="n">
        <v>7.5</v>
      </c>
      <c r="U44" s="43" t="n">
        <v>16</v>
      </c>
      <c r="V44" s="14" t="n">
        <v>196</v>
      </c>
      <c r="W44" s="14" t="inlineStr">
        <is>
          <t>2 in</t>
        </is>
      </c>
      <c r="X44" s="14" t="inlineStr">
        <is>
          <t>PEROTAC - Bơm giếng SA.pdf, tr.13 (hãng khác: AQUARIS, REDPUMP)</t>
        </is>
      </c>
      <c r="Y44" s="14" t="inlineStr">
        <is>
          <t>Thông số AQUARIS khác PEROTAC (xem cột riêng)</t>
        </is>
      </c>
    </row>
    <row r="45" ht="18" customHeight="1" s="1">
      <c r="A45" s="14" t="n">
        <v>67</v>
      </c>
      <c r="B45" s="14" t="inlineStr">
        <is>
          <t>4SA16/12</t>
        </is>
      </c>
      <c r="C45" s="14" t="n">
        <v>3</v>
      </c>
      <c r="D45" s="14" t="n">
        <v>60</v>
      </c>
      <c r="E45" s="14" t="n">
        <v>21</v>
      </c>
      <c r="F45" s="14" t="n">
        <v>71</v>
      </c>
      <c r="G45" s="9">
        <f>CEILING(O45*1.1,50000)</f>
        <v/>
      </c>
      <c r="H45" s="10">
        <f>CEILING(P45*1.15,50000)</f>
        <v/>
      </c>
      <c r="I45" s="11" t="n">
        <v>13000000</v>
      </c>
      <c r="J45" s="16" t="n">
        <v>4635000</v>
      </c>
      <c r="K45" s="15" t="n">
        <v>1854000</v>
      </c>
      <c r="L45" s="15" t="n">
        <v>2781000</v>
      </c>
      <c r="M45" s="15" t="n">
        <v>10800000</v>
      </c>
      <c r="N45" s="46" t="n"/>
      <c r="O45" s="13" t="n">
        <v>5400000</v>
      </c>
      <c r="P45" s="13" t="n">
        <v>6500000</v>
      </c>
      <c r="Q45" s="14" t="inlineStr">
        <is>
          <t>Có</t>
        </is>
      </c>
      <c r="R45" s="14" t="inlineStr">
        <is>
          <t>Có</t>
        </is>
      </c>
      <c r="S45" s="14" t="inlineStr">
        <is>
          <t>Có</t>
        </is>
      </c>
      <c r="T45" s="14" t="n">
        <v>3</v>
      </c>
      <c r="U45" s="43" t="n">
        <v>22</v>
      </c>
      <c r="V45" s="43" t="n">
        <v>67</v>
      </c>
      <c r="W45" s="14" t="inlineStr">
        <is>
          <t>2 in</t>
        </is>
      </c>
      <c r="X45" s="14" t="inlineStr">
        <is>
          <t>PEROTAC - Bơm giếng SA.pdf, tr.14 (hãng khác: AQUARIS, REDPUMP)</t>
        </is>
      </c>
      <c r="Y45" s="14" t="inlineStr">
        <is>
          <t>Thông số AQUARIS khác PEROTAC (xem cột riêng)</t>
        </is>
      </c>
    </row>
    <row r="46" ht="18" customHeight="1" s="1">
      <c r="A46" s="8" t="n">
        <v>68</v>
      </c>
      <c r="B46" s="8" t="inlineStr">
        <is>
          <t>4SA16/16</t>
        </is>
      </c>
      <c r="C46" s="8" t="n">
        <v>4</v>
      </c>
      <c r="D46" s="8" t="n">
        <v>60</v>
      </c>
      <c r="E46" s="8" t="n">
        <v>21</v>
      </c>
      <c r="F46" s="8" t="n">
        <v>95</v>
      </c>
      <c r="G46" s="9">
        <f>CEILING(O46*1.1,50000)</f>
        <v/>
      </c>
      <c r="H46" s="10">
        <f>CEILING(P46*1.15,50000)</f>
        <v/>
      </c>
      <c r="I46" s="11" t="n">
        <v>14600000</v>
      </c>
      <c r="J46" s="16" t="n">
        <v>5193000</v>
      </c>
      <c r="K46" s="12" t="n">
        <v>2077200</v>
      </c>
      <c r="L46" s="12" t="n">
        <v>3115800</v>
      </c>
      <c r="M46" s="12" t="n">
        <v>12600000</v>
      </c>
      <c r="N46" s="46" t="n"/>
      <c r="O46" s="13" t="n">
        <v>6000000</v>
      </c>
      <c r="P46" s="13" t="n">
        <v>7300000</v>
      </c>
      <c r="Q46" s="8" t="inlineStr">
        <is>
          <t>Có</t>
        </is>
      </c>
      <c r="R46" s="8" t="inlineStr">
        <is>
          <t>Có</t>
        </is>
      </c>
      <c r="S46" s="8" t="inlineStr">
        <is>
          <t>Có</t>
        </is>
      </c>
      <c r="T46" s="8" t="n">
        <v>4</v>
      </c>
      <c r="U46" s="43" t="n">
        <v>22</v>
      </c>
      <c r="V46" s="43" t="n">
        <v>88</v>
      </c>
      <c r="W46" s="8" t="inlineStr">
        <is>
          <t>2 in</t>
        </is>
      </c>
      <c r="X46" s="8" t="inlineStr">
        <is>
          <t>PEROTAC - Bơm giếng SA.pdf, tr.14 (hãng khác: AQUARIS, REDPUMP)</t>
        </is>
      </c>
      <c r="Y46" s="8" t="inlineStr">
        <is>
          <t>Thông số AQUARIS khác PEROTAC (xem cột riêng)</t>
        </is>
      </c>
    </row>
    <row r="47" ht="18" customHeight="1" s="1">
      <c r="A47" s="14" t="n">
        <v>69</v>
      </c>
      <c r="B47" s="14" t="inlineStr">
        <is>
          <t>4SA16/20</t>
        </is>
      </c>
      <c r="C47" s="14" t="n">
        <v>5.5</v>
      </c>
      <c r="D47" s="14" t="n">
        <v>60</v>
      </c>
      <c r="E47" s="14" t="n">
        <v>21</v>
      </c>
      <c r="F47" s="14" t="n">
        <v>118</v>
      </c>
      <c r="G47" s="9">
        <f>CEILING(O47*1.1,50000)</f>
        <v/>
      </c>
      <c r="H47" s="10">
        <f>CEILING(P47*1.15,50000)</f>
        <v/>
      </c>
      <c r="I47" s="11" t="n">
        <v>18000000</v>
      </c>
      <c r="J47" s="16" t="n">
        <v>6426000</v>
      </c>
      <c r="K47" s="15" t="n">
        <v>2570400</v>
      </c>
      <c r="L47" s="15" t="n">
        <v>3855600</v>
      </c>
      <c r="M47" s="15" t="n">
        <v>14112000</v>
      </c>
      <c r="N47" s="46" t="n"/>
      <c r="O47" s="13" t="n">
        <v>7400000</v>
      </c>
      <c r="P47" s="13" t="n">
        <v>9000000</v>
      </c>
      <c r="Q47" s="14" t="inlineStr">
        <is>
          <t>Có</t>
        </is>
      </c>
      <c r="R47" s="14" t="inlineStr">
        <is>
          <t>Có</t>
        </is>
      </c>
      <c r="S47" s="14" t="inlineStr">
        <is>
          <t>Có</t>
        </is>
      </c>
      <c r="T47" s="14" t="n">
        <v>5.5</v>
      </c>
      <c r="U47" s="43" t="n">
        <v>22</v>
      </c>
      <c r="V47" s="43" t="n">
        <v>111</v>
      </c>
      <c r="W47" s="14" t="inlineStr">
        <is>
          <t>2 in</t>
        </is>
      </c>
      <c r="X47" s="14" t="inlineStr">
        <is>
          <t>PEROTAC - Bơm giếng SA.pdf, tr.14 (hãng khác: AQUARIS, REDPUMP)</t>
        </is>
      </c>
      <c r="Y47" s="14" t="inlineStr">
        <is>
          <t>Thông số AQUARIS khác PEROTAC (xem cột riêng)</t>
        </is>
      </c>
    </row>
    <row r="48" ht="18" customHeight="1" s="1">
      <c r="A48" s="8" t="n">
        <v>70</v>
      </c>
      <c r="B48" s="8" t="inlineStr">
        <is>
          <t>4SA16/25</t>
        </is>
      </c>
      <c r="C48" s="8" t="n">
        <v>7.5</v>
      </c>
      <c r="D48" s="8" t="n">
        <v>60</v>
      </c>
      <c r="E48" s="8" t="n">
        <v>21</v>
      </c>
      <c r="F48" s="8" t="n">
        <v>148</v>
      </c>
      <c r="G48" s="9">
        <f>CEILING(O48*1.1,50000)</f>
        <v/>
      </c>
      <c r="H48" s="10">
        <f>CEILING(P48*1.15,50000)</f>
        <v/>
      </c>
      <c r="I48" s="11" t="n">
        <v>21000000</v>
      </c>
      <c r="J48" s="16" t="n">
        <v>7380000</v>
      </c>
      <c r="K48" s="12" t="n">
        <v>2952000</v>
      </c>
      <c r="L48" s="12" t="n">
        <v>4428000</v>
      </c>
      <c r="M48" s="12" t="n">
        <v>19152000</v>
      </c>
      <c r="N48" s="45" t="n"/>
      <c r="O48" s="13" t="n">
        <v>8900000</v>
      </c>
      <c r="P48" s="13" t="n">
        <v>10500000</v>
      </c>
      <c r="Q48" s="8" t="inlineStr">
        <is>
          <t>Có</t>
        </is>
      </c>
      <c r="R48" s="8" t="inlineStr">
        <is>
          <t>Có</t>
        </is>
      </c>
      <c r="S48" s="8" t="inlineStr">
        <is>
          <t>Có</t>
        </is>
      </c>
      <c r="T48" s="8" t="n">
        <v>7.5</v>
      </c>
      <c r="U48" s="43" t="n">
        <v>22</v>
      </c>
      <c r="V48" s="43" t="n">
        <v>139</v>
      </c>
      <c r="W48" s="8" t="inlineStr">
        <is>
          <t>2 in</t>
        </is>
      </c>
      <c r="X48" s="8" t="inlineStr">
        <is>
          <t>PEROTAC - Bơm giếng SA.pdf, tr.14 (hãng khác: AQUARIS, REDPUMP)</t>
        </is>
      </c>
      <c r="Y48" s="8" t="inlineStr">
        <is>
          <t>Thông số AQUARIS khác PEROTAC (xem cột riêng)</t>
        </is>
      </c>
    </row>
    <row r="49" ht="18" customHeight="1" s="1">
      <c r="A49" s="8" t="n">
        <v>18</v>
      </c>
      <c r="B49" s="8" t="inlineStr">
        <is>
          <t>6SA35/4</t>
        </is>
      </c>
      <c r="C49" s="8" t="n">
        <v>5.5</v>
      </c>
      <c r="D49" s="8" t="n">
        <v>90</v>
      </c>
      <c r="E49" s="8" t="n">
        <v>45</v>
      </c>
      <c r="F49" s="8" t="n">
        <v>59</v>
      </c>
      <c r="G49" s="9">
        <f>CEILING(O49*1.1,50000)</f>
        <v/>
      </c>
      <c r="H49" s="10">
        <f>CEILING(P49*1.15,50000)</f>
        <v/>
      </c>
      <c r="I49" s="11" t="n">
        <v>18000000</v>
      </c>
      <c r="J49" s="16" t="n">
        <v>6426000</v>
      </c>
      <c r="K49" s="12" t="n">
        <v>2570400</v>
      </c>
      <c r="L49" s="12" t="n">
        <v>3855600</v>
      </c>
      <c r="M49" s="12" t="n">
        <v>14112000</v>
      </c>
      <c r="N49" s="38" t="n"/>
      <c r="O49" s="13" t="n">
        <v>7400000</v>
      </c>
      <c r="P49" s="13" t="n">
        <v>9000000</v>
      </c>
      <c r="Q49" s="8" t="inlineStr">
        <is>
          <t>Có</t>
        </is>
      </c>
      <c r="R49" s="8" t="inlineStr">
        <is>
          <t>Có</t>
        </is>
      </c>
      <c r="S49" s="44" t="inlineStr">
        <is>
          <t>Không có</t>
        </is>
      </c>
      <c r="T49" s="8" t="inlineStr">
        <is>
          <t>Không có</t>
        </is>
      </c>
      <c r="U49" s="8" t="inlineStr">
        <is>
          <t>Không có</t>
        </is>
      </c>
      <c r="V49" s="8" t="inlineStr">
        <is>
          <t>Không có</t>
        </is>
      </c>
      <c r="W49" s="8" t="inlineStr">
        <is>
          <t>3 in</t>
        </is>
      </c>
      <c r="X49" s="8" t="inlineStr">
        <is>
          <t>PEROTAC - Bơm giếng SA.pdf, tr.17 (hãng khác: REDPUMP)</t>
        </is>
      </c>
      <c r="Y49" s="8" t="inlineStr">
        <is>
          <t>Có giá AQUARIS nhưng catalogue AQUARIS không có mã này</t>
        </is>
      </c>
    </row>
    <row r="50" ht="18" customHeight="1" s="1">
      <c r="A50" s="14" t="n">
        <v>19</v>
      </c>
      <c r="B50" s="14" t="inlineStr">
        <is>
          <t>6SA35/6</t>
        </is>
      </c>
      <c r="C50" s="14" t="n">
        <v>7.5</v>
      </c>
      <c r="D50" s="14" t="n">
        <v>90</v>
      </c>
      <c r="E50" s="14" t="n">
        <v>45</v>
      </c>
      <c r="F50" s="14" t="n">
        <v>88</v>
      </c>
      <c r="G50" s="9">
        <f>CEILING(O50*1.1,50000)</f>
        <v/>
      </c>
      <c r="H50" s="10">
        <f>CEILING(P50*1.15,50000)</f>
        <v/>
      </c>
      <c r="I50" s="11" t="n">
        <v>21000000</v>
      </c>
      <c r="J50" s="16" t="n">
        <v>7380000</v>
      </c>
      <c r="K50" s="15" t="n">
        <v>2952000</v>
      </c>
      <c r="L50" s="15" t="n">
        <v>4428000</v>
      </c>
      <c r="M50" s="15" t="n">
        <v>19152000</v>
      </c>
      <c r="N50" s="46" t="n"/>
      <c r="O50" s="13" t="n">
        <v>8900000</v>
      </c>
      <c r="P50" s="13" t="n">
        <v>10500000</v>
      </c>
      <c r="Q50" s="14" t="inlineStr">
        <is>
          <t>Có</t>
        </is>
      </c>
      <c r="R50" s="14" t="inlineStr">
        <is>
          <t>Có</t>
        </is>
      </c>
      <c r="S50" s="44" t="inlineStr">
        <is>
          <t>Không có</t>
        </is>
      </c>
      <c r="T50" s="14" t="inlineStr">
        <is>
          <t>Không có</t>
        </is>
      </c>
      <c r="U50" s="14" t="inlineStr">
        <is>
          <t>Không có</t>
        </is>
      </c>
      <c r="V50" s="14" t="inlineStr">
        <is>
          <t>Không có</t>
        </is>
      </c>
      <c r="W50" s="14" t="inlineStr">
        <is>
          <t>3 in</t>
        </is>
      </c>
      <c r="X50" s="14" t="inlineStr">
        <is>
          <t>PEROTAC - Bơm giếng SA.pdf, tr.17 (hãng khác: REDPUMP)</t>
        </is>
      </c>
      <c r="Y50" s="14" t="inlineStr">
        <is>
          <t>Có giá AQUARIS nhưng catalogue AQUARIS không có mã này</t>
        </is>
      </c>
    </row>
    <row r="51" ht="18" customHeight="1" s="1">
      <c r="A51" s="8" t="n">
        <v>20</v>
      </c>
      <c r="B51" s="8" t="inlineStr">
        <is>
          <t>6SA35/7</t>
        </is>
      </c>
      <c r="C51" s="8" t="n">
        <v>9.199999999999999</v>
      </c>
      <c r="D51" s="8" t="n">
        <v>90</v>
      </c>
      <c r="E51" s="8" t="n">
        <v>45</v>
      </c>
      <c r="F51" s="8" t="n">
        <v>103</v>
      </c>
      <c r="G51" s="9">
        <f>CEILING(O51*1.1,50000)</f>
        <v/>
      </c>
      <c r="H51" s="10">
        <f>CEILING(P51*1.15,50000)</f>
        <v/>
      </c>
      <c r="I51" s="11" t="n">
        <v>24834000</v>
      </c>
      <c r="J51" s="8" t="n"/>
      <c r="K51" s="12" t="n">
        <v>3461000</v>
      </c>
      <c r="L51" s="12" t="n">
        <v>5192000</v>
      </c>
      <c r="M51" s="8" t="n"/>
      <c r="N51" s="46" t="n"/>
      <c r="O51" s="13" t="n">
        <v>10443000</v>
      </c>
      <c r="P51" s="13" t="n">
        <v>12417000</v>
      </c>
      <c r="Q51" s="8" t="inlineStr">
        <is>
          <t>Có</t>
        </is>
      </c>
      <c r="R51" s="8" t="inlineStr">
        <is>
          <t>Có</t>
        </is>
      </c>
      <c r="S51" s="44" t="inlineStr">
        <is>
          <t>Không có</t>
        </is>
      </c>
      <c r="T51" s="8" t="inlineStr">
        <is>
          <t>Không có</t>
        </is>
      </c>
      <c r="U51" s="8" t="inlineStr">
        <is>
          <t>Không có</t>
        </is>
      </c>
      <c r="V51" s="8" t="inlineStr">
        <is>
          <t>Không có</t>
        </is>
      </c>
      <c r="W51" s="8" t="inlineStr">
        <is>
          <t>3 in</t>
        </is>
      </c>
      <c r="X51" s="8" t="inlineStr">
        <is>
          <t>PEROTAC - Bơm giếng SA.pdf, tr.17 (hãng khác: REDPUMP)</t>
        </is>
      </c>
      <c r="Y51" s="8" t="inlineStr">
        <is>
          <t>Có giá AQUARIS nhưng catalogue AQUARIS không có mã này</t>
        </is>
      </c>
    </row>
    <row r="52" ht="18" customHeight="1" s="1">
      <c r="A52" s="14" t="n">
        <v>21</v>
      </c>
      <c r="B52" s="14" t="inlineStr">
        <is>
          <t>6SA35/8</t>
        </is>
      </c>
      <c r="C52" s="14" t="n">
        <v>11</v>
      </c>
      <c r="D52" s="14" t="n">
        <v>90</v>
      </c>
      <c r="E52" s="14" t="n">
        <v>45</v>
      </c>
      <c r="F52" s="14" t="n">
        <v>118</v>
      </c>
      <c r="G52" s="9">
        <f>CEILING(O52*1.1,50000)</f>
        <v/>
      </c>
      <c r="H52" s="10">
        <f>CEILING(P52*1.15,50000)</f>
        <v/>
      </c>
      <c r="I52" s="11" t="n">
        <v>28894000</v>
      </c>
      <c r="J52" s="15" t="n">
        <v>10000000</v>
      </c>
      <c r="K52" s="15" t="n">
        <v>4000000</v>
      </c>
      <c r="L52" s="15" t="n">
        <v>6000000</v>
      </c>
      <c r="M52" s="14" t="n"/>
      <c r="N52" s="46" t="n"/>
      <c r="O52" s="13" t="n">
        <v>12077000</v>
      </c>
      <c r="P52" s="13" t="n">
        <v>14447000</v>
      </c>
      <c r="Q52" s="14" t="inlineStr">
        <is>
          <t>Có</t>
        </is>
      </c>
      <c r="R52" s="14" t="inlineStr">
        <is>
          <t>Có</t>
        </is>
      </c>
      <c r="S52" s="44" t="inlineStr">
        <is>
          <t>Không có</t>
        </is>
      </c>
      <c r="T52" s="14" t="inlineStr">
        <is>
          <t>Không có</t>
        </is>
      </c>
      <c r="U52" s="14" t="inlineStr">
        <is>
          <t>Không có</t>
        </is>
      </c>
      <c r="V52" s="14" t="inlineStr">
        <is>
          <t>Không có</t>
        </is>
      </c>
      <c r="W52" s="14" t="inlineStr">
        <is>
          <t>3 in</t>
        </is>
      </c>
      <c r="X52" s="14" t="inlineStr">
        <is>
          <t>PEROTAC - Bơm giếng SA.pdf, tr.17 (hãng khác: REDPUMP)</t>
        </is>
      </c>
      <c r="Y52" s="14" t="inlineStr">
        <is>
          <t>Có giá AQUARIS nhưng catalogue AQUARIS không có mã này</t>
        </is>
      </c>
    </row>
    <row r="53" ht="18" customHeight="1" s="1">
      <c r="A53" s="8" t="n">
        <v>22</v>
      </c>
      <c r="B53" s="8" t="inlineStr">
        <is>
          <t>6SA35/12</t>
        </is>
      </c>
      <c r="C53" s="8" t="n">
        <v>15</v>
      </c>
      <c r="D53" s="8" t="n">
        <v>90</v>
      </c>
      <c r="E53" s="8" t="n">
        <v>45</v>
      </c>
      <c r="F53" s="8" t="n">
        <v>176</v>
      </c>
      <c r="G53" s="9">
        <f>CEILING(O53*1.1,50000)</f>
        <v/>
      </c>
      <c r="H53" s="10">
        <f>CEILING(P53*1.15,50000)</f>
        <v/>
      </c>
      <c r="I53" s="11" t="n">
        <v>36000000</v>
      </c>
      <c r="J53" s="12" t="n">
        <v>12000000</v>
      </c>
      <c r="K53" s="12" t="n">
        <v>4800000</v>
      </c>
      <c r="L53" s="12" t="n">
        <v>7200000</v>
      </c>
      <c r="M53" s="8" t="n"/>
      <c r="N53" s="46" t="n"/>
      <c r="O53" s="13" t="n">
        <v>15600000</v>
      </c>
      <c r="P53" s="13" t="n">
        <v>18000000</v>
      </c>
      <c r="Q53" s="8" t="inlineStr">
        <is>
          <t>Có</t>
        </is>
      </c>
      <c r="R53" s="8" t="inlineStr">
        <is>
          <t>Có</t>
        </is>
      </c>
      <c r="S53" s="44" t="inlineStr">
        <is>
          <t>Không có</t>
        </is>
      </c>
      <c r="T53" s="8" t="inlineStr">
        <is>
          <t>Không có</t>
        </is>
      </c>
      <c r="U53" s="8" t="inlineStr">
        <is>
          <t>Không có</t>
        </is>
      </c>
      <c r="V53" s="8" t="inlineStr">
        <is>
          <t>Không có</t>
        </is>
      </c>
      <c r="W53" s="8" t="inlineStr">
        <is>
          <t>3 in</t>
        </is>
      </c>
      <c r="X53" s="8" t="inlineStr">
        <is>
          <t>PEROTAC - Bơm giếng SA.pdf, tr.17 (hãng khác: REDPUMP)</t>
        </is>
      </c>
      <c r="Y53" s="8" t="inlineStr">
        <is>
          <t>Có giá AQUARIS nhưng catalogue AQUARIS không có mã này</t>
        </is>
      </c>
    </row>
    <row r="54" ht="18" customHeight="1" s="1">
      <c r="A54" s="14" t="n">
        <v>23</v>
      </c>
      <c r="B54" s="14" t="inlineStr">
        <is>
          <t>6SA35/14</t>
        </is>
      </c>
      <c r="C54" s="14" t="n">
        <v>18.5</v>
      </c>
      <c r="D54" s="14" t="n">
        <v>90</v>
      </c>
      <c r="E54" s="14" t="n">
        <v>45</v>
      </c>
      <c r="F54" s="14" t="n">
        <v>206</v>
      </c>
      <c r="G54" s="9">
        <f>CEILING(O54*1.1,50000)</f>
        <v/>
      </c>
      <c r="H54" s="10">
        <f>CEILING(P54*1.15,50000)</f>
        <v/>
      </c>
      <c r="I54" s="11" t="n">
        <v>51000000</v>
      </c>
      <c r="J54" s="15" t="n">
        <v>17000000</v>
      </c>
      <c r="K54" s="15" t="n">
        <v>6800000</v>
      </c>
      <c r="L54" s="15" t="n">
        <v>10200000</v>
      </c>
      <c r="M54" s="14" t="n"/>
      <c r="N54" s="46" t="n"/>
      <c r="O54" s="13" t="n">
        <v>22100000</v>
      </c>
      <c r="P54" s="13" t="n">
        <v>25500000</v>
      </c>
      <c r="Y54" s="44" t="inlineStr">
        <is>
          <t>Không có trong catalogue đã duyệt – giữ nguyên thông số cũ</t>
        </is>
      </c>
    </row>
    <row r="55" ht="18" customHeight="1" s="1">
      <c r="A55" s="8" t="n">
        <v>24</v>
      </c>
      <c r="B55" s="8" t="inlineStr">
        <is>
          <t>6SA35/16</t>
        </is>
      </c>
      <c r="C55" s="8" t="n">
        <v>18.5</v>
      </c>
      <c r="D55" s="8" t="n">
        <v>90</v>
      </c>
      <c r="E55" s="8" t="n">
        <v>45</v>
      </c>
      <c r="F55" s="8" t="n">
        <v>235</v>
      </c>
      <c r="G55" s="9">
        <f>CEILING(O55*1.1,50000)</f>
        <v/>
      </c>
      <c r="H55" s="10">
        <f>CEILING(P55*1.15,50000)</f>
        <v/>
      </c>
      <c r="I55" s="11" t="n">
        <v>51000000</v>
      </c>
      <c r="J55" s="12" t="n">
        <v>17000000</v>
      </c>
      <c r="K55" s="12" t="n">
        <v>6800000</v>
      </c>
      <c r="L55" s="12" t="n">
        <v>10200000</v>
      </c>
      <c r="M55" s="8" t="n"/>
      <c r="N55" s="46" t="n"/>
      <c r="O55" s="13" t="n">
        <v>22100000</v>
      </c>
      <c r="P55" s="13" t="n">
        <v>25500000</v>
      </c>
      <c r="Q55" s="8" t="inlineStr">
        <is>
          <t>Có</t>
        </is>
      </c>
      <c r="R55" s="8" t="inlineStr">
        <is>
          <t>Có</t>
        </is>
      </c>
      <c r="S55" s="44" t="inlineStr">
        <is>
          <t>Không có</t>
        </is>
      </c>
      <c r="T55" s="8" t="inlineStr">
        <is>
          <t>Không có</t>
        </is>
      </c>
      <c r="U55" s="8" t="inlineStr">
        <is>
          <t>Không có</t>
        </is>
      </c>
      <c r="V55" s="8" t="inlineStr">
        <is>
          <t>Không có</t>
        </is>
      </c>
      <c r="W55" s="8" t="inlineStr">
        <is>
          <t>3 in</t>
        </is>
      </c>
      <c r="X55" s="8" t="inlineStr">
        <is>
          <t>PEROTAC - Bơm giếng SA.pdf, tr.17 (hãng khác: REDPUMP)</t>
        </is>
      </c>
      <c r="Y55" s="8" t="inlineStr">
        <is>
          <t>Có giá AQUARIS nhưng catalogue AQUARIS không có mã này</t>
        </is>
      </c>
    </row>
    <row r="56" ht="18" customHeight="1" s="1">
      <c r="A56" s="14" t="n">
        <v>25</v>
      </c>
      <c r="B56" s="14" t="inlineStr">
        <is>
          <t>6SA35/18</t>
        </is>
      </c>
      <c r="C56" s="14" t="n">
        <v>22</v>
      </c>
      <c r="D56" s="14" t="n">
        <v>90</v>
      </c>
      <c r="E56" s="14" t="n">
        <v>45</v>
      </c>
      <c r="F56" s="14" t="n">
        <v>265</v>
      </c>
      <c r="G56" s="9">
        <f>CEILING(O56*1.1,50000)</f>
        <v/>
      </c>
      <c r="H56" s="10">
        <f>CEILING(P56*1.15,50000)</f>
        <v/>
      </c>
      <c r="I56" s="11" t="n">
        <v>58600000</v>
      </c>
      <c r="J56" s="15" t="n">
        <v>19500000</v>
      </c>
      <c r="K56" s="15" t="n">
        <v>7800000</v>
      </c>
      <c r="L56" s="15" t="n">
        <v>11700000</v>
      </c>
      <c r="M56" s="14" t="n"/>
      <c r="N56" s="46" t="n"/>
      <c r="O56" s="13" t="n">
        <v>25400000</v>
      </c>
      <c r="P56" s="13" t="n">
        <v>29300000</v>
      </c>
      <c r="Y56" s="44" t="inlineStr">
        <is>
          <t>Không có trong catalogue đã duyệt – giữ nguyên thông số cũ</t>
        </is>
      </c>
    </row>
    <row r="57" ht="18" customHeight="1" s="1">
      <c r="A57" s="8" t="n">
        <v>26</v>
      </c>
      <c r="B57" s="8" t="inlineStr">
        <is>
          <t>6SA35/20</t>
        </is>
      </c>
      <c r="C57" s="8" t="n">
        <v>22</v>
      </c>
      <c r="D57" s="8" t="n">
        <v>90</v>
      </c>
      <c r="E57" s="8" t="n">
        <v>45</v>
      </c>
      <c r="F57" s="8" t="n">
        <v>294</v>
      </c>
      <c r="G57" s="9">
        <f>CEILING(O57*1.1,50000)</f>
        <v/>
      </c>
      <c r="H57" s="10">
        <f>CEILING(P57*1.15,50000)</f>
        <v/>
      </c>
      <c r="I57" s="11" t="n">
        <v>58600000</v>
      </c>
      <c r="J57" s="12" t="n">
        <v>19500000</v>
      </c>
      <c r="K57" s="12" t="n">
        <v>7800000</v>
      </c>
      <c r="L57" s="12" t="n">
        <v>11700000</v>
      </c>
      <c r="M57" s="8" t="n"/>
      <c r="N57" s="46" t="n"/>
      <c r="O57" s="13" t="n">
        <v>25400000</v>
      </c>
      <c r="P57" s="13" t="n">
        <v>29300000</v>
      </c>
      <c r="Q57" s="8" t="inlineStr">
        <is>
          <t>Có</t>
        </is>
      </c>
      <c r="R57" s="8" t="inlineStr">
        <is>
          <t>Có</t>
        </is>
      </c>
      <c r="S57" s="44" t="inlineStr">
        <is>
          <t>Không có</t>
        </is>
      </c>
      <c r="T57" s="8" t="inlineStr">
        <is>
          <t>Không có</t>
        </is>
      </c>
      <c r="U57" s="8" t="inlineStr">
        <is>
          <t>Không có</t>
        </is>
      </c>
      <c r="V57" s="8" t="inlineStr">
        <is>
          <t>Không có</t>
        </is>
      </c>
      <c r="W57" s="8" t="inlineStr">
        <is>
          <t>3 in</t>
        </is>
      </c>
      <c r="X57" s="8" t="inlineStr">
        <is>
          <t>PEROTAC - Bơm giếng SA.pdf, tr.17 (hãng khác: REDPUMP)</t>
        </is>
      </c>
      <c r="Y57" s="8" t="inlineStr">
        <is>
          <t>Có giá AQUARIS nhưng catalogue AQUARIS không có mã này</t>
        </is>
      </c>
    </row>
    <row r="58" ht="18" customHeight="1" s="1">
      <c r="A58" s="14" t="n">
        <v>27</v>
      </c>
      <c r="B58" s="14" t="inlineStr">
        <is>
          <t>6SA45/2</t>
        </is>
      </c>
      <c r="C58" s="14" t="n">
        <v>4</v>
      </c>
      <c r="D58" s="14" t="n">
        <v>90</v>
      </c>
      <c r="E58" s="14" t="n">
        <v>54</v>
      </c>
      <c r="F58" s="14" t="n">
        <v>28</v>
      </c>
      <c r="G58" s="9">
        <f>CEILING(O58*1.1,50000)</f>
        <v/>
      </c>
      <c r="H58" s="10">
        <f>CEILING(P58*1.15,50000)</f>
        <v/>
      </c>
      <c r="I58" s="11" t="n">
        <v>14600000</v>
      </c>
      <c r="J58" s="16" t="n">
        <v>5193000</v>
      </c>
      <c r="K58" s="15" t="n">
        <v>2077200</v>
      </c>
      <c r="L58" s="15" t="n">
        <v>3115800</v>
      </c>
      <c r="M58" s="15" t="n">
        <v>12600000</v>
      </c>
      <c r="N58" s="46" t="n"/>
      <c r="O58" s="13" t="n">
        <v>6000000</v>
      </c>
      <c r="P58" s="13" t="n">
        <v>7300000</v>
      </c>
      <c r="Q58" s="14" t="inlineStr">
        <is>
          <t>Có</t>
        </is>
      </c>
      <c r="R58" s="14" t="inlineStr">
        <is>
          <t>Có</t>
        </is>
      </c>
      <c r="S58" s="44" t="inlineStr">
        <is>
          <t>Không có</t>
        </is>
      </c>
      <c r="T58" s="14" t="inlineStr">
        <is>
          <t>Không có</t>
        </is>
      </c>
      <c r="U58" s="14" t="inlineStr">
        <is>
          <t>Không có</t>
        </is>
      </c>
      <c r="V58" s="14" t="inlineStr">
        <is>
          <t>Không có</t>
        </is>
      </c>
      <c r="W58" s="14" t="inlineStr">
        <is>
          <t>3 in</t>
        </is>
      </c>
      <c r="X58" s="14" t="inlineStr">
        <is>
          <t>PEROTAC - Bơm giếng SA.pdf, tr.18 (hãng khác: REDPUMP)</t>
        </is>
      </c>
      <c r="Y58" s="14" t="inlineStr">
        <is>
          <t>Có giá AQUARIS nhưng catalogue AQUARIS không có mã này</t>
        </is>
      </c>
    </row>
    <row r="59" ht="18" customHeight="1" s="1">
      <c r="A59" s="8" t="n">
        <v>28</v>
      </c>
      <c r="B59" s="8" t="inlineStr">
        <is>
          <t>6SA45/3</t>
        </is>
      </c>
      <c r="C59" s="8" t="n">
        <v>5.5</v>
      </c>
      <c r="D59" s="8" t="n">
        <v>90</v>
      </c>
      <c r="E59" s="8" t="n">
        <v>54</v>
      </c>
      <c r="F59" s="8" t="n">
        <v>42</v>
      </c>
      <c r="G59" s="9">
        <f>CEILING(O59*1.1,50000)</f>
        <v/>
      </c>
      <c r="H59" s="10">
        <f>CEILING(P59*1.15,50000)</f>
        <v/>
      </c>
      <c r="I59" s="11" t="n">
        <v>18000000</v>
      </c>
      <c r="J59" s="16" t="n">
        <v>6426000</v>
      </c>
      <c r="K59" s="12" t="n">
        <v>2570400</v>
      </c>
      <c r="L59" s="12" t="n">
        <v>3855600</v>
      </c>
      <c r="M59" s="12" t="n">
        <v>14112000</v>
      </c>
      <c r="N59" s="46" t="n"/>
      <c r="O59" s="13" t="n">
        <v>7400000</v>
      </c>
      <c r="P59" s="13" t="n">
        <v>9000000</v>
      </c>
      <c r="Q59" s="8" t="inlineStr">
        <is>
          <t>Có</t>
        </is>
      </c>
      <c r="R59" s="8" t="inlineStr">
        <is>
          <t>Có</t>
        </is>
      </c>
      <c r="S59" s="44" t="inlineStr">
        <is>
          <t>Không có</t>
        </is>
      </c>
      <c r="T59" s="8" t="inlineStr">
        <is>
          <t>Không có</t>
        </is>
      </c>
      <c r="U59" s="8" t="inlineStr">
        <is>
          <t>Không có</t>
        </is>
      </c>
      <c r="V59" s="8" t="inlineStr">
        <is>
          <t>Không có</t>
        </is>
      </c>
      <c r="W59" s="8" t="inlineStr">
        <is>
          <t>3 in</t>
        </is>
      </c>
      <c r="X59" s="8" t="inlineStr">
        <is>
          <t>PEROTAC - Bơm giếng SA.pdf, tr.18 (hãng khác: REDPUMP)</t>
        </is>
      </c>
      <c r="Y59" s="8" t="inlineStr">
        <is>
          <t>Có giá AQUARIS nhưng catalogue AQUARIS không có mã này</t>
        </is>
      </c>
    </row>
    <row r="60" ht="18" customHeight="1" s="1">
      <c r="A60" s="14" t="n">
        <v>29</v>
      </c>
      <c r="B60" s="14" t="inlineStr">
        <is>
          <t>6SA45/4</t>
        </is>
      </c>
      <c r="C60" s="14" t="n">
        <v>7.5</v>
      </c>
      <c r="D60" s="14" t="n">
        <v>90</v>
      </c>
      <c r="E60" s="14" t="n">
        <v>54</v>
      </c>
      <c r="F60" s="14" t="n">
        <v>56</v>
      </c>
      <c r="G60" s="9">
        <f>CEILING(O60*1.1,50000)</f>
        <v/>
      </c>
      <c r="H60" s="10">
        <f>CEILING(P60*1.15,50000)</f>
        <v/>
      </c>
      <c r="I60" s="11" t="n">
        <v>21000000</v>
      </c>
      <c r="J60" s="16" t="n">
        <v>7380000</v>
      </c>
      <c r="K60" s="15" t="n">
        <v>2952000</v>
      </c>
      <c r="L60" s="15" t="n">
        <v>4428000</v>
      </c>
      <c r="M60" s="15" t="n">
        <v>19152000</v>
      </c>
      <c r="N60" s="46" t="n"/>
      <c r="O60" s="13" t="n">
        <v>8900000</v>
      </c>
      <c r="P60" s="13" t="n">
        <v>10500000</v>
      </c>
      <c r="Q60" s="14" t="inlineStr">
        <is>
          <t>Có</t>
        </is>
      </c>
      <c r="R60" s="14" t="inlineStr">
        <is>
          <t>Có</t>
        </is>
      </c>
      <c r="S60" s="44" t="inlineStr">
        <is>
          <t>Không có</t>
        </is>
      </c>
      <c r="T60" s="14" t="inlineStr">
        <is>
          <t>Không có</t>
        </is>
      </c>
      <c r="U60" s="14" t="inlineStr">
        <is>
          <t>Không có</t>
        </is>
      </c>
      <c r="V60" s="14" t="inlineStr">
        <is>
          <t>Không có</t>
        </is>
      </c>
      <c r="W60" s="14" t="inlineStr">
        <is>
          <t>3 in</t>
        </is>
      </c>
      <c r="X60" s="14" t="inlineStr">
        <is>
          <t>PEROTAC - Bơm giếng SA.pdf, tr.18 (hãng khác: REDPUMP)</t>
        </is>
      </c>
      <c r="Y60" s="14" t="inlineStr">
        <is>
          <t>Có giá AQUARIS nhưng catalogue AQUARIS không có mã này</t>
        </is>
      </c>
    </row>
    <row r="61" ht="18" customHeight="1" s="1">
      <c r="A61" s="8" t="n">
        <v>30</v>
      </c>
      <c r="B61" s="8" t="inlineStr">
        <is>
          <t>6SA45/5</t>
        </is>
      </c>
      <c r="C61" s="8" t="n">
        <v>9.199999999999999</v>
      </c>
      <c r="D61" s="8" t="n">
        <v>90</v>
      </c>
      <c r="E61" s="8" t="n">
        <v>54</v>
      </c>
      <c r="F61" s="8" t="n">
        <v>70</v>
      </c>
      <c r="G61" s="9">
        <f>CEILING(O61*1.1,50000)</f>
        <v/>
      </c>
      <c r="H61" s="10">
        <f>CEILING(P61*1.15,50000)</f>
        <v/>
      </c>
      <c r="I61" s="11" t="n">
        <v>24834000</v>
      </c>
      <c r="J61" s="8" t="n"/>
      <c r="K61" s="12" t="n">
        <v>3461000</v>
      </c>
      <c r="L61" s="12" t="n">
        <v>5192000</v>
      </c>
      <c r="M61" s="8" t="n"/>
      <c r="N61" s="46" t="n"/>
      <c r="O61" s="13" t="n">
        <v>10443000</v>
      </c>
      <c r="P61" s="13" t="n">
        <v>12417000</v>
      </c>
      <c r="Q61" s="8" t="inlineStr">
        <is>
          <t>Có</t>
        </is>
      </c>
      <c r="R61" s="8" t="inlineStr">
        <is>
          <t>Có</t>
        </is>
      </c>
      <c r="S61" s="44" t="inlineStr">
        <is>
          <t>Không có</t>
        </is>
      </c>
      <c r="T61" s="8" t="inlineStr">
        <is>
          <t>Không có</t>
        </is>
      </c>
      <c r="U61" s="8" t="inlineStr">
        <is>
          <t>Không có</t>
        </is>
      </c>
      <c r="V61" s="8" t="inlineStr">
        <is>
          <t>Không có</t>
        </is>
      </c>
      <c r="W61" s="8" t="inlineStr">
        <is>
          <t>3 in</t>
        </is>
      </c>
      <c r="X61" s="8" t="inlineStr">
        <is>
          <t>PEROTAC - Bơm giếng SA.pdf, tr.18 (hãng khác: REDPUMP)</t>
        </is>
      </c>
      <c r="Y61" s="8" t="inlineStr">
        <is>
          <t>Có giá AQUARIS nhưng catalogue AQUARIS không có mã này</t>
        </is>
      </c>
    </row>
    <row r="62" ht="18" customHeight="1" s="1">
      <c r="A62" s="14" t="n">
        <v>31</v>
      </c>
      <c r="B62" s="14" t="inlineStr">
        <is>
          <t>6SA45/6</t>
        </is>
      </c>
      <c r="C62" s="14" t="n">
        <v>11</v>
      </c>
      <c r="D62" s="14" t="n">
        <v>90</v>
      </c>
      <c r="E62" s="14" t="n">
        <v>54</v>
      </c>
      <c r="F62" s="14" t="n">
        <v>84</v>
      </c>
      <c r="G62" s="9">
        <f>CEILING(O62*1.1,50000)</f>
        <v/>
      </c>
      <c r="H62" s="10">
        <f>CEILING(P62*1.15,50000)</f>
        <v/>
      </c>
      <c r="I62" s="11" t="n">
        <v>28894000</v>
      </c>
      <c r="J62" s="15" t="n">
        <v>10000000</v>
      </c>
      <c r="K62" s="15" t="n">
        <v>4000000</v>
      </c>
      <c r="L62" s="15" t="n">
        <v>6000000</v>
      </c>
      <c r="M62" s="14" t="n"/>
      <c r="N62" s="46" t="n"/>
      <c r="O62" s="13" t="n">
        <v>12077000</v>
      </c>
      <c r="P62" s="13" t="n">
        <v>14447000</v>
      </c>
      <c r="Q62" s="14" t="inlineStr">
        <is>
          <t>Có</t>
        </is>
      </c>
      <c r="R62" s="14" t="inlineStr">
        <is>
          <t>Có</t>
        </is>
      </c>
      <c r="S62" s="44" t="inlineStr">
        <is>
          <t>Không có</t>
        </is>
      </c>
      <c r="T62" s="14" t="inlineStr">
        <is>
          <t>Không có</t>
        </is>
      </c>
      <c r="U62" s="14" t="inlineStr">
        <is>
          <t>Không có</t>
        </is>
      </c>
      <c r="V62" s="14" t="inlineStr">
        <is>
          <t>Không có</t>
        </is>
      </c>
      <c r="W62" s="14" t="inlineStr">
        <is>
          <t>3 in</t>
        </is>
      </c>
      <c r="X62" s="14" t="inlineStr">
        <is>
          <t>PEROTAC - Bơm giếng SA.pdf, tr.18 (hãng khác: REDPUMP)</t>
        </is>
      </c>
      <c r="Y62" s="14" t="inlineStr">
        <is>
          <t>Có giá AQUARIS nhưng catalogue AQUARIS không có mã này</t>
        </is>
      </c>
    </row>
    <row r="63" ht="18" customHeight="1" s="1">
      <c r="A63" s="8" t="n">
        <v>32</v>
      </c>
      <c r="B63" s="8" t="inlineStr">
        <is>
          <t>6SA45/8</t>
        </is>
      </c>
      <c r="C63" s="8" t="n">
        <v>15</v>
      </c>
      <c r="D63" s="8" t="n">
        <v>90</v>
      </c>
      <c r="E63" s="8" t="n">
        <v>54</v>
      </c>
      <c r="F63" s="8" t="n">
        <v>113</v>
      </c>
      <c r="G63" s="9">
        <f>CEILING(O63*1.1,50000)</f>
        <v/>
      </c>
      <c r="H63" s="10">
        <f>CEILING(P63*1.15,50000)</f>
        <v/>
      </c>
      <c r="I63" s="11" t="n">
        <v>36000000</v>
      </c>
      <c r="J63" s="12" t="n">
        <v>12000000</v>
      </c>
      <c r="K63" s="12" t="n">
        <v>4800000</v>
      </c>
      <c r="L63" s="12" t="n">
        <v>7200000</v>
      </c>
      <c r="M63" s="8" t="n"/>
      <c r="N63" s="46" t="n"/>
      <c r="O63" s="13" t="n">
        <v>15600000</v>
      </c>
      <c r="P63" s="13" t="n">
        <v>18000000</v>
      </c>
      <c r="Q63" s="8" t="inlineStr">
        <is>
          <t>Có</t>
        </is>
      </c>
      <c r="R63" s="8" t="inlineStr">
        <is>
          <t>Có</t>
        </is>
      </c>
      <c r="S63" s="44" t="inlineStr">
        <is>
          <t>Không có</t>
        </is>
      </c>
      <c r="T63" s="8" t="inlineStr">
        <is>
          <t>Không có</t>
        </is>
      </c>
      <c r="U63" s="8" t="inlineStr">
        <is>
          <t>Không có</t>
        </is>
      </c>
      <c r="V63" s="8" t="inlineStr">
        <is>
          <t>Không có</t>
        </is>
      </c>
      <c r="W63" s="8" t="inlineStr">
        <is>
          <t>3 in</t>
        </is>
      </c>
      <c r="X63" s="8" t="inlineStr">
        <is>
          <t>PEROTAC - Bơm giếng SA.pdf, tr.18 (hãng khác: REDPUMP)</t>
        </is>
      </c>
      <c r="Y63" s="8" t="inlineStr">
        <is>
          <t>Có giá AQUARIS nhưng catalogue AQUARIS không có mã này</t>
        </is>
      </c>
    </row>
    <row r="64" ht="18" customHeight="1" s="1">
      <c r="A64" s="14" t="n">
        <v>33</v>
      </c>
      <c r="B64" s="14" t="inlineStr">
        <is>
          <t>6SA45/11</t>
        </is>
      </c>
      <c r="C64" s="14" t="n">
        <v>18.5</v>
      </c>
      <c r="D64" s="14" t="n">
        <v>90</v>
      </c>
      <c r="E64" s="14" t="n">
        <v>54</v>
      </c>
      <c r="F64" s="14" t="n">
        <v>155</v>
      </c>
      <c r="G64" s="9">
        <f>CEILING(O64*1.1,50000)</f>
        <v/>
      </c>
      <c r="H64" s="10">
        <f>CEILING(P64*1.15,50000)</f>
        <v/>
      </c>
      <c r="I64" s="11" t="n">
        <v>51000000</v>
      </c>
      <c r="J64" s="15" t="n">
        <v>17000000</v>
      </c>
      <c r="K64" s="15" t="n">
        <v>6800000</v>
      </c>
      <c r="L64" s="15" t="n">
        <v>10200000</v>
      </c>
      <c r="M64" s="14" t="n"/>
      <c r="N64" s="46" t="n"/>
      <c r="O64" s="13" t="n">
        <v>22100000</v>
      </c>
      <c r="P64" s="13" t="n">
        <v>25500000</v>
      </c>
      <c r="Q64" s="14" t="inlineStr">
        <is>
          <t>Có</t>
        </is>
      </c>
      <c r="R64" s="14" t="inlineStr">
        <is>
          <t>Có</t>
        </is>
      </c>
      <c r="S64" s="44" t="inlineStr">
        <is>
          <t>Không có</t>
        </is>
      </c>
      <c r="T64" s="14" t="inlineStr">
        <is>
          <t>Không có</t>
        </is>
      </c>
      <c r="U64" s="14" t="inlineStr">
        <is>
          <t>Không có</t>
        </is>
      </c>
      <c r="V64" s="14" t="inlineStr">
        <is>
          <t>Không có</t>
        </is>
      </c>
      <c r="W64" s="14" t="inlineStr">
        <is>
          <t>3 in</t>
        </is>
      </c>
      <c r="X64" s="14" t="inlineStr">
        <is>
          <t>PEROTAC - Bơm giếng SA.pdf, tr.18 (hãng khác: REDPUMP)</t>
        </is>
      </c>
      <c r="Y64" s="14" t="inlineStr">
        <is>
          <t>Có giá AQUARIS nhưng catalogue AQUARIS không có mã này</t>
        </is>
      </c>
    </row>
    <row r="65" ht="18" customHeight="1" s="1">
      <c r="A65" s="8" t="n">
        <v>34</v>
      </c>
      <c r="B65" s="8" t="inlineStr">
        <is>
          <t>6SA45/9</t>
        </is>
      </c>
      <c r="C65" s="8" t="n">
        <v>18.5</v>
      </c>
      <c r="D65" s="8" t="n">
        <v>90</v>
      </c>
      <c r="E65" s="8" t="n">
        <v>54</v>
      </c>
      <c r="F65" s="8" t="n">
        <v>127</v>
      </c>
      <c r="G65" s="9">
        <f>CEILING(O65*1.1,50000)</f>
        <v/>
      </c>
      <c r="H65" s="10">
        <f>CEILING(P65*1.15,50000)</f>
        <v/>
      </c>
      <c r="I65" s="11" t="n">
        <v>51000000</v>
      </c>
      <c r="J65" s="12" t="n">
        <v>17000000</v>
      </c>
      <c r="K65" s="12" t="n">
        <v>6800000</v>
      </c>
      <c r="L65" s="12" t="n">
        <v>10200000</v>
      </c>
      <c r="M65" s="8" t="n"/>
      <c r="N65" s="46" t="n"/>
      <c r="O65" s="13" t="n">
        <v>22100000</v>
      </c>
      <c r="P65" s="13" t="n">
        <v>25500000</v>
      </c>
      <c r="Y65" s="44" t="inlineStr">
        <is>
          <t>Không có trong catalogue đã duyệt – giữ nguyên thông số cũ</t>
        </is>
      </c>
    </row>
    <row r="66" ht="18" customHeight="1" s="1">
      <c r="A66" s="14" t="n">
        <v>35</v>
      </c>
      <c r="B66" s="14" t="inlineStr">
        <is>
          <t>6SA45/13</t>
        </is>
      </c>
      <c r="C66" s="14" t="n">
        <v>22</v>
      </c>
      <c r="D66" s="14" t="n">
        <v>90</v>
      </c>
      <c r="E66" s="14" t="n">
        <v>54</v>
      </c>
      <c r="F66" s="14" t="n">
        <v>183</v>
      </c>
      <c r="G66" s="9">
        <f>CEILING(O66*1.1,50000)</f>
        <v/>
      </c>
      <c r="H66" s="10">
        <f>CEILING(P66*1.15,50000)</f>
        <v/>
      </c>
      <c r="I66" s="11" t="n">
        <v>58600000</v>
      </c>
      <c r="J66" s="15" t="n">
        <v>19500000</v>
      </c>
      <c r="K66" s="15" t="n">
        <v>7800000</v>
      </c>
      <c r="L66" s="15" t="n">
        <v>11700000</v>
      </c>
      <c r="M66" s="14" t="n"/>
      <c r="N66" s="46" t="n"/>
      <c r="O66" s="13" t="n">
        <v>25400000</v>
      </c>
      <c r="P66" s="13" t="n">
        <v>29300000</v>
      </c>
      <c r="Y66" s="44" t="inlineStr">
        <is>
          <t>Không có trong catalogue đã duyệt – giữ nguyên thông số cũ</t>
        </is>
      </c>
    </row>
    <row r="67" ht="18" customHeight="1" s="1">
      <c r="A67" s="8" t="n">
        <v>36</v>
      </c>
      <c r="B67" s="8" t="inlineStr">
        <is>
          <t>6SA45/15</t>
        </is>
      </c>
      <c r="C67" s="8" t="n">
        <v>22</v>
      </c>
      <c r="D67" s="8" t="n">
        <v>90</v>
      </c>
      <c r="E67" s="8" t="n">
        <v>54</v>
      </c>
      <c r="F67" s="8" t="n">
        <v>211</v>
      </c>
      <c r="G67" s="9">
        <f>CEILING(O67*1.1,50000)</f>
        <v/>
      </c>
      <c r="H67" s="10">
        <f>CEILING(P67*1.15,50000)</f>
        <v/>
      </c>
      <c r="I67" s="11" t="n">
        <v>58600000</v>
      </c>
      <c r="J67" s="12" t="n">
        <v>19500000</v>
      </c>
      <c r="K67" s="12" t="n">
        <v>7800000</v>
      </c>
      <c r="L67" s="12" t="n">
        <v>11700000</v>
      </c>
      <c r="M67" s="8" t="n"/>
      <c r="N67" s="45" t="n"/>
      <c r="O67" s="13" t="n">
        <v>25400000</v>
      </c>
      <c r="P67" s="13" t="n">
        <v>29300000</v>
      </c>
      <c r="Q67" s="8" t="inlineStr">
        <is>
          <t>Có</t>
        </is>
      </c>
      <c r="R67" s="8" t="inlineStr">
        <is>
          <t>Có</t>
        </is>
      </c>
      <c r="S67" s="44" t="inlineStr">
        <is>
          <t>Không có</t>
        </is>
      </c>
      <c r="T67" s="8" t="inlineStr">
        <is>
          <t>Không có</t>
        </is>
      </c>
      <c r="U67" s="8" t="inlineStr">
        <is>
          <t>Không có</t>
        </is>
      </c>
      <c r="V67" s="8" t="inlineStr">
        <is>
          <t>Không có</t>
        </is>
      </c>
      <c r="W67" s="8" t="inlineStr">
        <is>
          <t>3 in</t>
        </is>
      </c>
      <c r="X67" s="8" t="inlineStr">
        <is>
          <t>PEROTAC - Bơm giếng SA.pdf, tr.18 (hãng khác: REDPUMP)</t>
        </is>
      </c>
      <c r="Y67" s="8" t="inlineStr">
        <is>
          <t>Có giá AQUARIS nhưng catalogue AQUARIS không có mã này</t>
        </is>
      </c>
    </row>
    <row r="68" ht="18" customHeight="1" s="1">
      <c r="A68" s="14" t="n">
        <v>28</v>
      </c>
      <c r="B68" s="14" t="inlineStr">
        <is>
          <t>Tủ điện điện tử S-22 220v</t>
        </is>
      </c>
      <c r="C68" s="14" t="inlineStr">
        <is>
          <t>0,37-2,2</t>
        </is>
      </c>
      <c r="D68" s="14" t="n"/>
      <c r="E68" s="14" t="n"/>
      <c r="F68" s="14" t="n"/>
      <c r="G68" s="9" t="n">
        <v>1100000</v>
      </c>
      <c r="H68" s="17" t="n">
        <v>0</v>
      </c>
      <c r="I68" s="18" t="n">
        <v>0</v>
      </c>
      <c r="J68" s="15" t="n">
        <v>950000</v>
      </c>
      <c r="K68" s="14" t="n"/>
      <c r="L68" s="14" t="n"/>
      <c r="M68" s="14" t="n"/>
      <c r="N68" s="38" t="inlineStr">
        <is>
          <t>Tủ điện</t>
        </is>
      </c>
      <c r="Y68" s="44" t="inlineStr">
        <is>
          <t>Không có trong catalogue đã duyệt – giữ nguyên thông số cũ</t>
        </is>
      </c>
    </row>
    <row r="69" ht="18" customHeight="1" s="1">
      <c r="A69" s="8" t="n">
        <v>29</v>
      </c>
      <c r="B69" s="8" t="inlineStr">
        <is>
          <t>Tủ điện điên từ T-40 380v</t>
        </is>
      </c>
      <c r="C69" s="8" t="inlineStr">
        <is>
          <t>0,75-4,0</t>
        </is>
      </c>
      <c r="D69" s="8" t="n"/>
      <c r="E69" s="8" t="n"/>
      <c r="F69" s="8" t="n"/>
      <c r="G69" s="9" t="n">
        <v>1500000</v>
      </c>
      <c r="H69" s="10" t="n">
        <v>1600000</v>
      </c>
      <c r="I69" s="19" t="n">
        <v>3200000</v>
      </c>
      <c r="J69" s="12" t="n">
        <v>1250000</v>
      </c>
      <c r="K69" s="8" t="n"/>
      <c r="L69" s="8" t="n"/>
      <c r="M69" s="8" t="n"/>
      <c r="N69" s="46" t="n"/>
      <c r="Y69" s="44" t="inlineStr">
        <is>
          <t>Không có trong catalogue đã duyệt – giữ nguyên thông số cũ</t>
        </is>
      </c>
    </row>
    <row r="70" ht="18" customHeight="1" s="1">
      <c r="A70" s="14" t="n">
        <v>30</v>
      </c>
      <c r="B70" s="14" t="inlineStr">
        <is>
          <t>Tủ điện điên từ T-75 380v</t>
        </is>
      </c>
      <c r="C70" s="14" t="inlineStr">
        <is>
          <t>5,5-7,5</t>
        </is>
      </c>
      <c r="D70" s="14" t="n"/>
      <c r="E70" s="14" t="n"/>
      <c r="F70" s="14" t="n"/>
      <c r="G70" s="9" t="n">
        <v>2400000</v>
      </c>
      <c r="H70" s="10" t="n">
        <v>2500000</v>
      </c>
      <c r="I70" s="19" t="n">
        <v>5000000</v>
      </c>
      <c r="J70" s="15" t="n">
        <v>2000000</v>
      </c>
      <c r="K70" s="14" t="n"/>
      <c r="L70" s="14" t="n"/>
      <c r="M70" s="14" t="n"/>
      <c r="N70" s="46" t="n"/>
      <c r="Y70" s="44" t="inlineStr">
        <is>
          <t>Không có trong catalogue đã duyệt – giữ nguyên thông số cũ</t>
        </is>
      </c>
    </row>
    <row r="71" ht="18" customHeight="1" s="1">
      <c r="A71" s="8" t="n">
        <v>31</v>
      </c>
      <c r="B71" s="8" t="inlineStr">
        <is>
          <t>Tủ điện điên từ T-15 380v</t>
        </is>
      </c>
      <c r="C71" s="8" t="inlineStr">
        <is>
          <t>11-15</t>
        </is>
      </c>
      <c r="D71" s="8" t="n"/>
      <c r="E71" s="8" t="n"/>
      <c r="F71" s="8" t="n"/>
      <c r="G71" s="9" t="n">
        <v>3600000</v>
      </c>
      <c r="H71" s="10" t="n">
        <v>4000000</v>
      </c>
      <c r="I71" s="19" t="n">
        <v>8000000</v>
      </c>
      <c r="J71" s="12" t="n">
        <v>3000000</v>
      </c>
      <c r="K71" s="8" t="n"/>
      <c r="L71" s="8" t="n"/>
      <c r="M71" s="8" t="n"/>
      <c r="N71" s="46" t="n"/>
      <c r="Y71" s="44" t="inlineStr">
        <is>
          <t>Không có trong catalogue đã duyệt – giữ nguyên thông số cũ</t>
        </is>
      </c>
    </row>
    <row r="72" ht="18" customHeight="1" s="1">
      <c r="A72" s="14" t="n">
        <v>4</v>
      </c>
      <c r="B72" s="14" t="inlineStr">
        <is>
          <t>SLM220-220V</t>
        </is>
      </c>
      <c r="C72" s="14" t="inlineStr">
        <is>
          <t>0.75KW -2.2KW</t>
        </is>
      </c>
      <c r="D72" s="14" t="n"/>
      <c r="E72" s="14" t="n"/>
      <c r="F72" s="14" t="n"/>
      <c r="G72" s="9" t="n">
        <v>1100000</v>
      </c>
      <c r="H72" s="17" t="n">
        <v>0</v>
      </c>
      <c r="I72" s="18" t="n">
        <v>0</v>
      </c>
      <c r="J72" s="15" t="n">
        <v>950000</v>
      </c>
      <c r="K72" s="14" t="n"/>
      <c r="L72" s="14" t="n"/>
      <c r="M72" s="14" t="n"/>
      <c r="N72" s="46" t="n"/>
      <c r="Y72" s="44" t="inlineStr">
        <is>
          <t>Không có trong catalogue đã duyệt – giữ nguyên thông số cũ</t>
        </is>
      </c>
    </row>
    <row r="73" ht="18" customHeight="1" s="1">
      <c r="A73" s="8" t="n">
        <v>5</v>
      </c>
      <c r="B73" s="8" t="inlineStr">
        <is>
          <t>SL380-380V</t>
        </is>
      </c>
      <c r="C73" s="8" t="inlineStr">
        <is>
          <t>0.75KW- 4.0KW</t>
        </is>
      </c>
      <c r="D73" s="8" t="n"/>
      <c r="E73" s="8" t="n"/>
      <c r="F73" s="8" t="n"/>
      <c r="G73" s="9" t="n">
        <v>1300000</v>
      </c>
      <c r="H73" s="10" t="n">
        <v>1600000</v>
      </c>
      <c r="I73" s="19" t="n">
        <v>3200000</v>
      </c>
      <c r="J73" s="12" t="n">
        <v>1050000</v>
      </c>
      <c r="K73" s="8" t="n"/>
      <c r="L73" s="8" t="n"/>
      <c r="M73" s="8" t="n"/>
      <c r="N73" s="46" t="n"/>
      <c r="Y73" s="44" t="inlineStr">
        <is>
          <t>Không có trong catalogue đã duyệt – giữ nguyên thông số cũ</t>
        </is>
      </c>
    </row>
    <row r="74" ht="18" customHeight="1" s="1">
      <c r="A74" s="14" t="n">
        <v>6</v>
      </c>
      <c r="B74" s="14" t="inlineStr">
        <is>
          <t>SL750-380V</t>
        </is>
      </c>
      <c r="C74" s="14" t="inlineStr">
        <is>
          <t>5.5KW - 7.5KW</t>
        </is>
      </c>
      <c r="D74" s="14" t="n"/>
      <c r="E74" s="14" t="n"/>
      <c r="F74" s="14" t="n"/>
      <c r="G74" s="9" t="n">
        <v>1900000</v>
      </c>
      <c r="H74" s="10" t="n">
        <v>2500000</v>
      </c>
      <c r="I74" s="19" t="n">
        <v>5000000</v>
      </c>
      <c r="J74" s="15" t="n">
        <v>1600000</v>
      </c>
      <c r="K74" s="14" t="n"/>
      <c r="L74" s="14" t="n"/>
      <c r="M74" s="14" t="n"/>
      <c r="N74" s="46" t="n"/>
      <c r="Y74" s="44" t="inlineStr">
        <is>
          <t>Không có trong catalogue đã duyệt – giữ nguyên thông số cũ</t>
        </is>
      </c>
    </row>
    <row r="75" ht="18" customHeight="1" s="1">
      <c r="A75" s="8" t="n">
        <v>7</v>
      </c>
      <c r="B75" s="8" t="inlineStr">
        <is>
          <t>SL1500-380V</t>
        </is>
      </c>
      <c r="C75" s="8" t="inlineStr">
        <is>
          <t>11KW - 15KW</t>
        </is>
      </c>
      <c r="D75" s="8" t="n"/>
      <c r="E75" s="8" t="n"/>
      <c r="F75" s="8" t="n"/>
      <c r="G75" s="9" t="n">
        <v>3200000</v>
      </c>
      <c r="H75" s="10" t="n">
        <v>4000000</v>
      </c>
      <c r="I75" s="19" t="n">
        <v>8000000</v>
      </c>
      <c r="J75" s="12" t="n">
        <v>2650000</v>
      </c>
      <c r="K75" s="8" t="n"/>
      <c r="L75" s="8" t="n"/>
      <c r="M75" s="8" t="n"/>
      <c r="N75" s="45" t="n"/>
      <c r="Y75" s="44" t="inlineStr">
        <is>
          <t>Không có trong catalogue đã duyệt – giữ nguyên thông số cũ</t>
        </is>
      </c>
    </row>
    <row r="76" ht="15" customHeight="1" s="1"/>
    <row r="77" ht="15" customHeight="1" s="1"/>
    <row r="78" ht="15" customHeight="1" s="1"/>
    <row r="79" ht="15" customHeight="1" s="1"/>
    <row r="80" ht="15" customHeight="1" s="1"/>
    <row r="81" ht="15" customHeight="1" s="1"/>
    <row r="82" ht="15" customHeight="1" s="1"/>
    <row r="83" ht="15" customHeight="1" s="1"/>
    <row r="84" ht="15" customHeight="1" s="1"/>
    <row r="85" ht="15" customHeight="1" s="1"/>
    <row r="86" ht="15" customHeight="1" s="1"/>
    <row r="87" ht="15" customHeight="1" s="1"/>
    <row r="88" ht="15" customHeight="1" s="1"/>
    <row r="89" ht="15" customHeight="1" s="1"/>
    <row r="90" ht="15" customHeight="1" s="1"/>
    <row r="91" ht="15" customHeight="1" s="1"/>
    <row r="92" ht="15" customHeight="1" s="1"/>
    <row r="93" ht="15" customHeight="1" s="1"/>
    <row r="94" ht="15" customHeight="1" s="1"/>
    <row r="95" ht="15" customHeight="1" s="1"/>
    <row r="96" ht="15" customHeight="1" s="1"/>
    <row r="97" ht="15" customHeight="1" s="1"/>
    <row r="98" ht="15" customHeight="1" s="1"/>
    <row r="99" ht="15" customHeight="1" s="1"/>
    <row r="100" ht="15" customHeight="1" s="1"/>
    <row r="101" ht="15" customHeight="1" s="1"/>
    <row r="102" ht="15" customHeight="1" s="1"/>
    <row r="103" ht="15" customHeight="1" s="1"/>
    <row r="104" ht="15" customHeight="1" s="1"/>
    <row r="105" ht="15" customHeight="1" s="1"/>
    <row r="106" ht="15" customHeight="1" s="1"/>
    <row r="107" ht="15" customHeight="1" s="1"/>
    <row r="108" ht="15" customHeight="1" s="1"/>
    <row r="109" ht="15" customHeight="1" s="1"/>
    <row r="110" ht="15" customHeight="1" s="1"/>
    <row r="111" ht="34.5" customHeight="1" s="1"/>
    <row r="112" ht="45.75" customHeight="1" s="1"/>
    <row r="113" ht="45.75" customHeight="1" s="1"/>
    <row r="114" ht="45.75" customHeight="1" s="1"/>
    <row r="115" ht="34.5" customHeight="1" s="1"/>
    <row r="116" ht="34.5" customHeight="1" s="1"/>
    <row r="117" ht="45.75" customHeight="1" s="1"/>
    <row r="118" ht="34.5" customHeight="1" s="1"/>
  </sheetData>
  <mergeCells count="6">
    <mergeCell ref="N49:N67"/>
    <mergeCell ref="N4:N6"/>
    <mergeCell ref="N68:N75"/>
    <mergeCell ref="N13:N48"/>
    <mergeCell ref="N7:N12"/>
    <mergeCell ref="N2:N3"/>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V80"/>
  <sheetViews>
    <sheetView zoomScaleNormal="100" workbookViewId="0">
      <pane xSplit="2" ySplit="1" topLeftCell="C2" activePane="bottomRight" state="frozen"/>
      <selection pane="topRight" activeCell="A1" sqref="A1"/>
      <selection pane="bottomLeft" activeCell="A1" sqref="A1"/>
      <selection pane="bottomRight" activeCell="R38" sqref="R38"/>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9"/>
    <col width="14" customWidth="1" style="1" min="10" max="13"/>
    <col width="16" customWidth="1" style="1" min="14" max="14"/>
    <col width="16" customWidth="1" style="1" min="15" max="15"/>
    <col width="16" customWidth="1" style="1" min="16" max="16"/>
    <col width="16" customWidth="1" style="1" min="17" max="17"/>
    <col width="16" customWidth="1" style="1" min="18" max="18"/>
    <col width="16" customWidth="1" style="1" min="19" max="19"/>
    <col width="16" customWidth="1" style="1" min="20" max="20"/>
    <col width="40" customWidth="1" style="1" min="21" max="21"/>
    <col width="45" customWidth="1" style="1" min="22" max="22"/>
  </cols>
  <sheetData>
    <row r="1" ht="30" customHeight="1" s="1">
      <c r="A1" s="2" t="inlineStr">
        <is>
          <t>STT</t>
        </is>
      </c>
      <c r="B1" s="2" t="inlineStr">
        <is>
          <t>MODEL</t>
        </is>
      </c>
      <c r="C1" s="2" t="inlineStr">
        <is>
          <t>CÔNG SUẤT (KW)</t>
        </is>
      </c>
      <c r="D1" s="2" t="inlineStr">
        <is>
          <t>Họng xả</t>
        </is>
      </c>
      <c r="E1" s="2" t="inlineStr">
        <is>
          <t>Lưu lượng (m3/h)</t>
        </is>
      </c>
      <c r="F1" s="2" t="inlineStr">
        <is>
          <t>Cột áp (m)</t>
        </is>
      </c>
      <c r="G1" s="3" t="inlineStr">
        <is>
          <t>REDPUMP</t>
        </is>
      </c>
      <c r="H1" s="4" t="inlineStr">
        <is>
          <t>PEROTAC</t>
        </is>
      </c>
      <c r="I1" s="5" t="inlineStr">
        <is>
          <t>AQUARIS</t>
        </is>
      </c>
      <c r="J1" s="2" t="inlineStr">
        <is>
          <t>Giá Buồng (Tý)</t>
        </is>
      </c>
      <c r="K1" s="2" t="inlineStr">
        <is>
          <t>Giá động cơ (Động lực)</t>
        </is>
      </c>
      <c r="L1" s="2" t="inlineStr">
        <is>
          <t>Giá Sumoto</t>
        </is>
      </c>
      <c r="M1" s="2" t="inlineStr">
        <is>
          <t>Nhóm</t>
        </is>
      </c>
      <c r="N1" s="42" t="inlineStr">
        <is>
          <t>Có trong catalogue REDPUMP</t>
        </is>
      </c>
      <c r="O1" s="42" t="inlineStr">
        <is>
          <t>Có trong catalogue PEROTAC</t>
        </is>
      </c>
      <c r="P1" s="42" t="inlineStr">
        <is>
          <t>Có trong catalogue AQUARIS</t>
        </is>
      </c>
      <c r="Q1" s="42" t="inlineStr">
        <is>
          <t>AQUARIS – CÔNG SUẤT (KW)</t>
        </is>
      </c>
      <c r="R1" s="42" t="inlineStr">
        <is>
          <t>AQUARIS – Lưu lượng (m3/h)</t>
        </is>
      </c>
      <c r="S1" s="42" t="inlineStr">
        <is>
          <t>AQUARIS – Cột áp (m)</t>
        </is>
      </c>
      <c r="T1" s="42" t="inlineStr">
        <is>
          <t>Họng xả ghi trong catalogue</t>
        </is>
      </c>
      <c r="U1" s="42" t="inlineStr">
        <is>
          <t>Nguồn thông số (catalogue đã duyệt)</t>
        </is>
      </c>
      <c r="V1" s="42" t="inlineStr">
        <is>
          <t>Ghi chú</t>
        </is>
      </c>
    </row>
    <row r="2" ht="18" customHeight="1" s="1">
      <c r="A2" s="8" t="n">
        <v>3</v>
      </c>
      <c r="B2" s="8" t="inlineStr">
        <is>
          <t>4SP5-08</t>
        </is>
      </c>
      <c r="C2" s="8" t="n">
        <v>0.75</v>
      </c>
      <c r="D2" s="8" t="n">
        <v>48</v>
      </c>
      <c r="E2" s="43" t="n">
        <v>6.6</v>
      </c>
      <c r="F2" s="43" t="n">
        <v>49</v>
      </c>
      <c r="G2" s="9" t="n">
        <v>5100000</v>
      </c>
      <c r="H2" s="10" t="n">
        <v>6100000</v>
      </c>
      <c r="I2" s="19" t="n">
        <v>7500000</v>
      </c>
      <c r="J2" s="12" t="n">
        <v>2000000</v>
      </c>
      <c r="K2" s="12" t="n">
        <v>1220400</v>
      </c>
      <c r="L2" s="12" t="n">
        <v>5760000</v>
      </c>
      <c r="M2" s="39" t="n"/>
      <c r="N2" s="8" t="inlineStr">
        <is>
          <t>Có</t>
        </is>
      </c>
      <c r="O2" s="8" t="inlineStr">
        <is>
          <t>Có</t>
        </is>
      </c>
      <c r="P2" s="8" t="inlineStr">
        <is>
          <t>Có</t>
        </is>
      </c>
      <c r="Q2" s="8" t="n">
        <v>0.75</v>
      </c>
      <c r="R2" s="43" t="n">
        <v>6</v>
      </c>
      <c r="S2" s="43" t="n">
        <v>50</v>
      </c>
      <c r="T2" s="8" t="inlineStr">
        <is>
          <t>1.25 / 1.5</t>
        </is>
      </c>
      <c r="U2" s="8" t="inlineStr">
        <is>
          <t>PEROTAC - Bơm giếng SP.pdf, tr.2 (hãng khác: AQUARIS, REDPUMP)</t>
        </is>
      </c>
      <c r="V2" s="8" t="inlineStr">
        <is>
          <t>Thông số AQUARIS khác PEROTAC (xem cột riêng)</t>
        </is>
      </c>
    </row>
    <row r="3" ht="18" customHeight="1" s="1">
      <c r="A3" s="14" t="n">
        <v>8</v>
      </c>
      <c r="B3" s="14" t="inlineStr">
        <is>
          <t>4SP5-12</t>
        </is>
      </c>
      <c r="C3" s="14" t="n">
        <v>1.1</v>
      </c>
      <c r="D3" s="14" t="n">
        <v>48</v>
      </c>
      <c r="E3" s="43" t="n">
        <v>6.6</v>
      </c>
      <c r="F3" s="43" t="n">
        <v>74</v>
      </c>
      <c r="G3" s="9" t="n">
        <v>5600000</v>
      </c>
      <c r="H3" s="10" t="n">
        <v>6700000</v>
      </c>
      <c r="I3" s="19" t="n">
        <v>7800000</v>
      </c>
      <c r="J3" s="15" t="n">
        <v>2200000</v>
      </c>
      <c r="K3" s="15" t="n">
        <v>1366200</v>
      </c>
      <c r="L3" s="15" t="n">
        <v>7488000</v>
      </c>
      <c r="M3" s="46" t="n"/>
      <c r="N3" s="14" t="inlineStr">
        <is>
          <t>Có</t>
        </is>
      </c>
      <c r="O3" s="14" t="inlineStr">
        <is>
          <t>Có</t>
        </is>
      </c>
      <c r="P3" s="14" t="inlineStr">
        <is>
          <t>Có</t>
        </is>
      </c>
      <c r="Q3" s="14" t="n">
        <v>1.1</v>
      </c>
      <c r="R3" s="43" t="n">
        <v>6</v>
      </c>
      <c r="S3" s="43" t="n">
        <v>76</v>
      </c>
      <c r="T3" s="14" t="inlineStr">
        <is>
          <t>1.25 / 1.5</t>
        </is>
      </c>
      <c r="U3" s="14" t="inlineStr">
        <is>
          <t>PEROTAC - Bơm giếng SP.pdf, tr.2 (hãng khác: AQUARIS, REDPUMP)</t>
        </is>
      </c>
      <c r="V3" s="14" t="inlineStr">
        <is>
          <t>Thông số AQUARIS khác PEROTAC (xem cột riêng)</t>
        </is>
      </c>
    </row>
    <row r="4" ht="18" customHeight="1" s="1">
      <c r="A4" s="14" t="n">
        <v>16</v>
      </c>
      <c r="B4" s="14" t="inlineStr">
        <is>
          <t>4SP8-10</t>
        </is>
      </c>
      <c r="C4" s="14" t="n">
        <v>1.5</v>
      </c>
      <c r="D4" s="14" t="n">
        <v>48</v>
      </c>
      <c r="E4" s="14" t="n">
        <v>10</v>
      </c>
      <c r="F4" s="14" t="n">
        <v>63</v>
      </c>
      <c r="G4" s="9" t="n">
        <v>7000000</v>
      </c>
      <c r="H4" s="10" t="n">
        <v>8400000</v>
      </c>
      <c r="I4" s="19" t="n">
        <v>10000000</v>
      </c>
      <c r="J4" s="15" t="n">
        <v>3000000</v>
      </c>
      <c r="K4" s="15" t="n">
        <v>1560600</v>
      </c>
      <c r="L4" s="15" t="n">
        <v>8712000</v>
      </c>
      <c r="M4" s="46" t="n"/>
      <c r="N4" s="44" t="inlineStr">
        <is>
          <t>Không có</t>
        </is>
      </c>
      <c r="O4" s="44" t="inlineStr">
        <is>
          <t>Không có</t>
        </is>
      </c>
      <c r="P4" s="14" t="inlineStr">
        <is>
          <t>Có</t>
        </is>
      </c>
      <c r="Q4" s="14" t="n">
        <v>1.5</v>
      </c>
      <c r="R4" s="14" t="n">
        <v>10</v>
      </c>
      <c r="S4" s="14" t="n">
        <v>63</v>
      </c>
      <c r="T4" s="14" t="inlineStr">
        <is>
          <t>1.5</t>
        </is>
      </c>
      <c r="U4" s="14" t="inlineStr">
        <is>
          <t>AQUARIS - Bơm giếng SP.pdf, tr.7</t>
        </is>
      </c>
    </row>
    <row r="5" ht="18" customHeight="1" s="1">
      <c r="A5" s="8" t="n">
        <v>17</v>
      </c>
      <c r="B5" s="8" t="inlineStr">
        <is>
          <t>4SP14-07</t>
        </is>
      </c>
      <c r="C5" s="8" t="n">
        <v>2.2</v>
      </c>
      <c r="D5" s="8" t="n">
        <v>60</v>
      </c>
      <c r="E5" s="8" t="n">
        <v>18</v>
      </c>
      <c r="F5" s="8" t="n">
        <v>47</v>
      </c>
      <c r="G5" s="9" t="n">
        <v>8600000</v>
      </c>
      <c r="H5" s="10" t="n">
        <v>10300000</v>
      </c>
      <c r="I5" s="19" t="n">
        <v>12000000</v>
      </c>
      <c r="J5" s="12" t="n">
        <v>3500000</v>
      </c>
      <c r="K5" s="12" t="n">
        <v>2041200</v>
      </c>
      <c r="L5" s="12" t="n">
        <v>10152000</v>
      </c>
      <c r="M5" s="46" t="n"/>
      <c r="N5" s="44" t="inlineStr">
        <is>
          <t>Không có</t>
        </is>
      </c>
      <c r="O5" s="44" t="inlineStr">
        <is>
          <t>Không có</t>
        </is>
      </c>
      <c r="P5" s="8" t="inlineStr">
        <is>
          <t>Có</t>
        </is>
      </c>
      <c r="Q5" s="8" t="n">
        <v>2.2</v>
      </c>
      <c r="R5" s="8" t="n">
        <v>18</v>
      </c>
      <c r="S5" s="8" t="n">
        <v>47</v>
      </c>
      <c r="T5" s="8" t="inlineStr">
        <is>
          <t>2</t>
        </is>
      </c>
      <c r="U5" s="8" t="inlineStr">
        <is>
          <t>AQUARIS - Bơm giếng SP.pdf, tr.8</t>
        </is>
      </c>
    </row>
    <row r="6" ht="18" customHeight="1" s="1">
      <c r="A6" s="8" t="n">
        <v>23</v>
      </c>
      <c r="B6" s="8" t="inlineStr">
        <is>
          <t>4SP8-12</t>
        </is>
      </c>
      <c r="C6" s="8" t="n">
        <v>2.2</v>
      </c>
      <c r="D6" s="8" t="n">
        <v>48</v>
      </c>
      <c r="E6" s="8" t="n">
        <v>10</v>
      </c>
      <c r="F6" s="8" t="n">
        <v>76</v>
      </c>
      <c r="G6" s="9" t="n">
        <v>8600000</v>
      </c>
      <c r="H6" s="10" t="n">
        <v>10300000</v>
      </c>
      <c r="I6" s="19" t="n">
        <v>12000000</v>
      </c>
      <c r="J6" s="12" t="n">
        <v>3500000</v>
      </c>
      <c r="K6" s="12" t="n">
        <v>2041200</v>
      </c>
      <c r="L6" s="12" t="n">
        <v>10152000</v>
      </c>
      <c r="M6" s="46" t="n"/>
      <c r="N6" s="44" t="inlineStr">
        <is>
          <t>Không có</t>
        </is>
      </c>
      <c r="O6" s="44" t="inlineStr">
        <is>
          <t>Không có</t>
        </is>
      </c>
      <c r="P6" s="8" t="inlineStr">
        <is>
          <t>Có</t>
        </is>
      </c>
      <c r="Q6" s="8" t="n">
        <v>2.2</v>
      </c>
      <c r="R6" s="8" t="n">
        <v>10</v>
      </c>
      <c r="S6" s="8" t="n">
        <v>76</v>
      </c>
      <c r="T6" s="8" t="inlineStr">
        <is>
          <t>1.5</t>
        </is>
      </c>
      <c r="U6" s="8" t="inlineStr">
        <is>
          <t>AQUARIS - Bơm giếng SP.pdf, tr.7</t>
        </is>
      </c>
    </row>
    <row r="7" ht="18" customHeight="1" s="1">
      <c r="A7" s="14" t="n">
        <v>24</v>
      </c>
      <c r="B7" s="14" t="inlineStr">
        <is>
          <t>4SP8-14</t>
        </is>
      </c>
      <c r="C7" s="14" t="n">
        <v>2.2</v>
      </c>
      <c r="D7" s="14" t="n">
        <v>48</v>
      </c>
      <c r="E7" s="14" t="n">
        <v>10</v>
      </c>
      <c r="F7" s="14" t="n">
        <v>89</v>
      </c>
      <c r="G7" s="9" t="n">
        <v>8600000</v>
      </c>
      <c r="H7" s="10" t="n">
        <v>10300000</v>
      </c>
      <c r="I7" s="19" t="n">
        <v>12000000</v>
      </c>
      <c r="J7" s="15" t="n">
        <v>3500000</v>
      </c>
      <c r="K7" s="15" t="n">
        <v>2041200</v>
      </c>
      <c r="L7" s="15" t="n">
        <v>10152000</v>
      </c>
      <c r="M7" s="46" t="n"/>
      <c r="N7" s="44" t="inlineStr">
        <is>
          <t>Không có</t>
        </is>
      </c>
      <c r="O7" s="44" t="inlineStr">
        <is>
          <t>Không có</t>
        </is>
      </c>
      <c r="P7" s="14" t="inlineStr">
        <is>
          <t>Có</t>
        </is>
      </c>
      <c r="Q7" s="14" t="n">
        <v>2.2</v>
      </c>
      <c r="R7" s="14" t="n">
        <v>10</v>
      </c>
      <c r="S7" s="14" t="n">
        <v>89</v>
      </c>
      <c r="T7" s="14" t="inlineStr">
        <is>
          <t>1.5</t>
        </is>
      </c>
      <c r="U7" s="14" t="inlineStr">
        <is>
          <t>AQUARIS - Bơm giếng SP.pdf, tr.7</t>
        </is>
      </c>
    </row>
    <row r="8" ht="18" customHeight="1" s="1">
      <c r="A8" s="8" t="n">
        <v>25</v>
      </c>
      <c r="B8" s="8" t="inlineStr">
        <is>
          <t>4SP14-10</t>
        </is>
      </c>
      <c r="C8" s="8" t="n">
        <v>3</v>
      </c>
      <c r="D8" s="8" t="n">
        <v>60</v>
      </c>
      <c r="E8" s="8" t="n">
        <v>18</v>
      </c>
      <c r="F8" s="8" t="n">
        <v>68</v>
      </c>
      <c r="G8" s="9" t="n">
        <v>10700000</v>
      </c>
      <c r="H8" s="10" t="n">
        <v>12800000</v>
      </c>
      <c r="I8" s="19" t="n">
        <v>14500000</v>
      </c>
      <c r="J8" s="12" t="n">
        <v>4000000</v>
      </c>
      <c r="K8" s="12" t="n">
        <v>2781000</v>
      </c>
      <c r="L8" s="12" t="n">
        <v>12312000</v>
      </c>
      <c r="M8" s="46" t="n"/>
      <c r="N8" s="44" t="inlineStr">
        <is>
          <t>Không có</t>
        </is>
      </c>
      <c r="O8" s="44" t="inlineStr">
        <is>
          <t>Không có</t>
        </is>
      </c>
      <c r="P8" s="8" t="inlineStr">
        <is>
          <t>Có</t>
        </is>
      </c>
      <c r="Q8" s="8" t="n">
        <v>3</v>
      </c>
      <c r="R8" s="8" t="n">
        <v>18</v>
      </c>
      <c r="S8" s="8" t="n">
        <v>68</v>
      </c>
      <c r="T8" s="8" t="inlineStr">
        <is>
          <t>2</t>
        </is>
      </c>
      <c r="U8" s="8" t="inlineStr">
        <is>
          <t>AQUARIS - Bơm giếng SP.pdf, tr.8</t>
        </is>
      </c>
    </row>
    <row r="9" ht="18" customHeight="1" s="1">
      <c r="A9" s="14" t="n">
        <v>30</v>
      </c>
      <c r="B9" s="14" t="inlineStr">
        <is>
          <t>4SP8-18</t>
        </is>
      </c>
      <c r="C9" s="43" t="n">
        <v>2.6</v>
      </c>
      <c r="D9" s="14" t="n">
        <v>48</v>
      </c>
      <c r="E9" s="43" t="n">
        <v>10.8</v>
      </c>
      <c r="F9" s="43" t="n">
        <v>107</v>
      </c>
      <c r="G9" s="9" t="n">
        <v>10700000</v>
      </c>
      <c r="H9" s="10" t="n">
        <v>12800000</v>
      </c>
      <c r="I9" s="19" t="n">
        <v>14500000</v>
      </c>
      <c r="J9" s="15" t="n">
        <v>4000000</v>
      </c>
      <c r="K9" s="15" t="n">
        <v>2781000</v>
      </c>
      <c r="L9" s="15" t="n">
        <v>12312000</v>
      </c>
      <c r="M9" s="46" t="n"/>
      <c r="N9" s="14" t="inlineStr">
        <is>
          <t>Có</t>
        </is>
      </c>
      <c r="O9" s="14" t="inlineStr">
        <is>
          <t>Có</t>
        </is>
      </c>
      <c r="P9" s="14" t="inlineStr">
        <is>
          <t>Có</t>
        </is>
      </c>
      <c r="Q9" s="43" t="n">
        <v>3</v>
      </c>
      <c r="R9" s="43" t="n">
        <v>10</v>
      </c>
      <c r="S9" s="43" t="n">
        <v>114</v>
      </c>
      <c r="T9" s="14" t="inlineStr">
        <is>
          <t>1.5</t>
        </is>
      </c>
      <c r="U9" s="14" t="inlineStr">
        <is>
          <t>PEROTAC - Bơm giếng SP.pdf, tr.2 (hãng khác: AQUARIS, REDPUMP)</t>
        </is>
      </c>
      <c r="V9" s="14" t="inlineStr">
        <is>
          <t>Thông số AQUARIS khác PEROTAC (xem cột riêng)</t>
        </is>
      </c>
    </row>
    <row r="10" ht="18" customHeight="1" s="1">
      <c r="A10" s="8" t="n">
        <v>31</v>
      </c>
      <c r="B10" s="8" t="inlineStr">
        <is>
          <t>4SP14-13</t>
        </is>
      </c>
      <c r="C10" s="8" t="n">
        <v>4</v>
      </c>
      <c r="D10" s="8" t="n">
        <v>60</v>
      </c>
      <c r="E10" s="8" t="n">
        <v>18</v>
      </c>
      <c r="F10" s="43" t="n">
        <v>83</v>
      </c>
      <c r="G10" s="9" t="n">
        <v>12100000</v>
      </c>
      <c r="H10" s="10" t="n">
        <v>14500000</v>
      </c>
      <c r="I10" s="19" t="n">
        <v>17500000</v>
      </c>
      <c r="J10" s="12" t="n">
        <v>4700000</v>
      </c>
      <c r="K10" s="12" t="n">
        <v>3115800</v>
      </c>
      <c r="L10" s="12" t="n">
        <v>13680000</v>
      </c>
      <c r="M10" s="46" t="n"/>
      <c r="N10" s="8" t="inlineStr">
        <is>
          <t>Có</t>
        </is>
      </c>
      <c r="O10" s="8" t="inlineStr">
        <is>
          <t>Có</t>
        </is>
      </c>
      <c r="P10" s="8" t="inlineStr">
        <is>
          <t>Có</t>
        </is>
      </c>
      <c r="Q10" s="8" t="n">
        <v>4</v>
      </c>
      <c r="R10" s="8" t="n">
        <v>18</v>
      </c>
      <c r="S10" s="43" t="n">
        <v>88</v>
      </c>
      <c r="T10" s="8" t="inlineStr">
        <is>
          <t>1.5 / 2</t>
        </is>
      </c>
      <c r="U10" s="8" t="inlineStr">
        <is>
          <t>PEROTAC - Bơm giếng SP.pdf, tr.3 (hãng khác: AQUARIS, REDPUMP)</t>
        </is>
      </c>
      <c r="V10" s="8" t="inlineStr">
        <is>
          <t>Thông số AQUARIS khác PEROTAC (xem cột riêng)</t>
        </is>
      </c>
    </row>
    <row r="11" ht="18" customHeight="1" s="1">
      <c r="A11" s="14" t="n">
        <v>34</v>
      </c>
      <c r="B11" s="14" t="inlineStr">
        <is>
          <t>4SP5-44</t>
        </is>
      </c>
      <c r="C11" s="14" t="n">
        <v>4</v>
      </c>
      <c r="D11" s="14" t="n">
        <v>48</v>
      </c>
      <c r="E11" s="43" t="n">
        <v>6.6</v>
      </c>
      <c r="F11" s="43" t="n">
        <v>271</v>
      </c>
      <c r="G11" s="9" t="n">
        <v>12100000</v>
      </c>
      <c r="H11" s="10" t="n">
        <v>14500000</v>
      </c>
      <c r="I11" s="19" t="n">
        <v>17500000</v>
      </c>
      <c r="J11" s="15" t="n">
        <v>4700000</v>
      </c>
      <c r="K11" s="15" t="n">
        <v>3115800</v>
      </c>
      <c r="L11" s="15" t="n">
        <v>13680000</v>
      </c>
      <c r="M11" s="46" t="n"/>
      <c r="N11" s="14" t="inlineStr">
        <is>
          <t>Có</t>
        </is>
      </c>
      <c r="O11" s="14" t="inlineStr">
        <is>
          <t>Có</t>
        </is>
      </c>
      <c r="P11" s="14" t="inlineStr">
        <is>
          <t>Có</t>
        </is>
      </c>
      <c r="Q11" s="14" t="n">
        <v>4</v>
      </c>
      <c r="R11" s="43" t="n">
        <v>6</v>
      </c>
      <c r="S11" s="43" t="n">
        <v>275</v>
      </c>
      <c r="T11" s="14" t="inlineStr">
        <is>
          <t>1.25 / 1.5</t>
        </is>
      </c>
      <c r="U11" s="14" t="inlineStr">
        <is>
          <t>PEROTAC - Bơm giếng SP.pdf, tr.2 (hãng khác: AQUARIS, REDPUMP)</t>
        </is>
      </c>
      <c r="V11" s="14" t="inlineStr">
        <is>
          <t>Thông số AQUARIS khác PEROTAC (xem cột riêng)</t>
        </is>
      </c>
    </row>
    <row r="12" ht="18" customHeight="1" s="1">
      <c r="A12" s="8" t="n">
        <v>35</v>
      </c>
      <c r="B12" s="8" t="inlineStr">
        <is>
          <t>4SP8-21</t>
        </is>
      </c>
      <c r="C12" s="43" t="n">
        <v>3</v>
      </c>
      <c r="D12" s="8" t="n">
        <v>48</v>
      </c>
      <c r="E12" s="43" t="n">
        <v>10.8</v>
      </c>
      <c r="F12" s="43" t="n">
        <v>125</v>
      </c>
      <c r="G12" s="9" t="n">
        <v>12100000</v>
      </c>
      <c r="H12" s="10" t="n">
        <v>14500000</v>
      </c>
      <c r="I12" s="19" t="n">
        <v>17500000</v>
      </c>
      <c r="J12" s="12" t="n">
        <v>4700000</v>
      </c>
      <c r="K12" s="12" t="n">
        <v>3115800</v>
      </c>
      <c r="L12" s="12" t="n">
        <v>13680000</v>
      </c>
      <c r="M12" s="46" t="n"/>
      <c r="N12" s="8" t="inlineStr">
        <is>
          <t>Có</t>
        </is>
      </c>
      <c r="O12" s="8" t="inlineStr">
        <is>
          <t>Có</t>
        </is>
      </c>
      <c r="P12" s="8" t="inlineStr">
        <is>
          <t>Có</t>
        </is>
      </c>
      <c r="Q12" s="43" t="n">
        <v>4</v>
      </c>
      <c r="R12" s="43" t="n">
        <v>10</v>
      </c>
      <c r="S12" s="43" t="n">
        <v>133</v>
      </c>
      <c r="T12" s="8" t="inlineStr">
        <is>
          <t>1.5</t>
        </is>
      </c>
      <c r="U12" s="8" t="inlineStr">
        <is>
          <t>PEROTAC - Bơm giếng SP.pdf, tr.2 (hãng khác: AQUARIS, REDPUMP)</t>
        </is>
      </c>
      <c r="V12" s="8" t="inlineStr">
        <is>
          <t>Thông số AQUARIS khác PEROTAC (xem cột riêng)</t>
        </is>
      </c>
    </row>
    <row r="13" ht="18" customHeight="1" s="1">
      <c r="A13" s="14" t="n">
        <v>36</v>
      </c>
      <c r="B13" s="14" t="inlineStr">
        <is>
          <t>4SP8-24</t>
        </is>
      </c>
      <c r="C13" s="14" t="n">
        <v>4</v>
      </c>
      <c r="D13" s="14" t="n">
        <v>48</v>
      </c>
      <c r="E13" s="14" t="n">
        <v>10</v>
      </c>
      <c r="F13" s="14" t="n">
        <v>152</v>
      </c>
      <c r="G13" s="9" t="n">
        <v>12100000</v>
      </c>
      <c r="H13" s="10" t="n">
        <v>14500000</v>
      </c>
      <c r="I13" s="19" t="n">
        <v>17500000</v>
      </c>
      <c r="J13" s="15" t="n">
        <v>4700000</v>
      </c>
      <c r="K13" s="15" t="n">
        <v>3115800</v>
      </c>
      <c r="L13" s="15" t="n">
        <v>13680000</v>
      </c>
      <c r="M13" s="46" t="n"/>
      <c r="N13" s="44" t="inlineStr">
        <is>
          <t>Không có</t>
        </is>
      </c>
      <c r="O13" s="44" t="inlineStr">
        <is>
          <t>Không có</t>
        </is>
      </c>
      <c r="P13" s="14" t="inlineStr">
        <is>
          <t>Có</t>
        </is>
      </c>
      <c r="Q13" s="14" t="n">
        <v>4</v>
      </c>
      <c r="R13" s="14" t="n">
        <v>10</v>
      </c>
      <c r="S13" s="14" t="n">
        <v>152</v>
      </c>
      <c r="T13" s="14" t="inlineStr">
        <is>
          <t>1.5</t>
        </is>
      </c>
      <c r="U13" s="14" t="inlineStr">
        <is>
          <t>AQUARIS - Bơm giếng SP.pdf, tr.7</t>
        </is>
      </c>
    </row>
    <row r="14" ht="18" customHeight="1" s="1">
      <c r="A14" s="14" t="n">
        <v>38</v>
      </c>
      <c r="B14" s="14" t="inlineStr">
        <is>
          <t>4SP14-18</t>
        </is>
      </c>
      <c r="C14" s="14" t="n">
        <v>5.5</v>
      </c>
      <c r="D14" s="14" t="n">
        <v>60</v>
      </c>
      <c r="E14" s="14" t="n">
        <v>18</v>
      </c>
      <c r="F14" s="43" t="n">
        <v>115</v>
      </c>
      <c r="G14" s="9" t="n">
        <v>16800000</v>
      </c>
      <c r="H14" s="10" t="n">
        <v>20200000</v>
      </c>
      <c r="I14" s="19" t="n">
        <v>23200000</v>
      </c>
      <c r="J14" s="15" t="n">
        <v>6500000</v>
      </c>
      <c r="K14" s="15" t="n">
        <v>3855600</v>
      </c>
      <c r="L14" s="15" t="n">
        <v>16632000</v>
      </c>
      <c r="M14" s="46" t="n"/>
      <c r="N14" s="14" t="inlineStr">
        <is>
          <t>Có</t>
        </is>
      </c>
      <c r="O14" s="14" t="inlineStr">
        <is>
          <t>Có</t>
        </is>
      </c>
      <c r="P14" s="14" t="inlineStr">
        <is>
          <t>Có</t>
        </is>
      </c>
      <c r="Q14" s="14" t="n">
        <v>5.5</v>
      </c>
      <c r="R14" s="14" t="n">
        <v>18</v>
      </c>
      <c r="S14" s="43" t="n">
        <v>122</v>
      </c>
      <c r="T14" s="14" t="inlineStr">
        <is>
          <t>1.5 / 2</t>
        </is>
      </c>
      <c r="U14" s="14" t="inlineStr">
        <is>
          <t>PEROTAC - Bơm giếng SP.pdf, tr.3 (hãng khác: AQUARIS, REDPUMP)</t>
        </is>
      </c>
      <c r="V14" s="14" t="inlineStr">
        <is>
          <t>Thông số AQUARIS khác PEROTAC (xem cột riêng)</t>
        </is>
      </c>
    </row>
    <row r="15" ht="18" customHeight="1" s="1">
      <c r="A15" s="8" t="n">
        <v>39</v>
      </c>
      <c r="B15" s="8" t="inlineStr">
        <is>
          <t>4SP5-52</t>
        </is>
      </c>
      <c r="C15" s="8" t="n">
        <v>5.5</v>
      </c>
      <c r="D15" s="8" t="n">
        <v>48</v>
      </c>
      <c r="E15" s="43" t="n">
        <v>6.6</v>
      </c>
      <c r="F15" s="43" t="n">
        <v>320</v>
      </c>
      <c r="G15" s="9" t="n">
        <v>16800000</v>
      </c>
      <c r="H15" s="10" t="n">
        <v>20200000</v>
      </c>
      <c r="I15" s="19" t="n">
        <v>23200000</v>
      </c>
      <c r="J15" s="12" t="n">
        <v>6500000</v>
      </c>
      <c r="K15" s="12" t="n">
        <v>3855600</v>
      </c>
      <c r="L15" s="12" t="n">
        <v>16632000</v>
      </c>
      <c r="M15" s="46" t="n"/>
      <c r="N15" s="8" t="inlineStr">
        <is>
          <t>Có</t>
        </is>
      </c>
      <c r="O15" s="8" t="inlineStr">
        <is>
          <t>Có</t>
        </is>
      </c>
      <c r="P15" s="8" t="inlineStr">
        <is>
          <t>Có</t>
        </is>
      </c>
      <c r="Q15" s="8" t="n">
        <v>5.5</v>
      </c>
      <c r="R15" s="43" t="n">
        <v>6</v>
      </c>
      <c r="S15" s="43" t="n">
        <v>326</v>
      </c>
      <c r="T15" s="8" t="inlineStr">
        <is>
          <t>1.25 / 1.5</t>
        </is>
      </c>
      <c r="U15" s="8" t="inlineStr">
        <is>
          <t>PEROTAC - Bơm giếng SP.pdf, tr.2 (hãng khác: AQUARIS, REDPUMP)</t>
        </is>
      </c>
      <c r="V15" s="8" t="inlineStr">
        <is>
          <t>Thông số AQUARIS khác PEROTAC (xem cột riêng)</t>
        </is>
      </c>
    </row>
    <row r="16" ht="18" customHeight="1" s="1">
      <c r="A16" s="8" t="n">
        <v>43</v>
      </c>
      <c r="B16" s="8" t="inlineStr">
        <is>
          <t>4SP14-25</t>
        </is>
      </c>
      <c r="C16" s="8" t="n">
        <v>7.5</v>
      </c>
      <c r="D16" s="8" t="n">
        <v>60</v>
      </c>
      <c r="E16" s="8" t="n">
        <v>18</v>
      </c>
      <c r="F16" s="8" t="n">
        <v>170</v>
      </c>
      <c r="G16" s="9" t="n">
        <v>18800000</v>
      </c>
      <c r="H16" s="10" t="n">
        <v>22600000</v>
      </c>
      <c r="I16" s="19" t="n">
        <v>27000000</v>
      </c>
      <c r="J16" s="12" t="n">
        <v>8200000</v>
      </c>
      <c r="K16" s="12" t="n">
        <v>4428000</v>
      </c>
      <c r="L16" s="12" t="n">
        <v>23184000</v>
      </c>
      <c r="M16" s="45" t="n"/>
      <c r="N16" s="44" t="inlineStr">
        <is>
          <t>Không có</t>
        </is>
      </c>
      <c r="O16" s="44" t="inlineStr">
        <is>
          <t>Không có</t>
        </is>
      </c>
      <c r="P16" s="8" t="inlineStr">
        <is>
          <t>Có</t>
        </is>
      </c>
      <c r="Q16" s="8" t="n">
        <v>7.5</v>
      </c>
      <c r="R16" s="8" t="n">
        <v>18</v>
      </c>
      <c r="S16" s="8" t="n">
        <v>170</v>
      </c>
      <c r="T16" s="8" t="inlineStr">
        <is>
          <t>2</t>
        </is>
      </c>
      <c r="U16" s="8" t="inlineStr">
        <is>
          <t>AQUARIS - Bơm giếng SP.pdf, tr.8</t>
        </is>
      </c>
    </row>
    <row r="17" ht="18" customHeight="1" s="1">
      <c r="A17" s="14" t="n">
        <v>16</v>
      </c>
      <c r="B17" s="14" t="inlineStr">
        <is>
          <t>5SP30-06</t>
        </is>
      </c>
      <c r="C17" s="14" t="n">
        <v>5.5</v>
      </c>
      <c r="D17" s="14" t="n">
        <v>76</v>
      </c>
      <c r="E17" s="14" t="inlineStr">
        <is>
          <t>15 - 40</t>
        </is>
      </c>
      <c r="F17" s="14" t="inlineStr">
        <is>
          <t>60 - 18</t>
        </is>
      </c>
      <c r="G17" s="9" t="n">
        <v>15200000</v>
      </c>
      <c r="H17" s="10" t="n">
        <v>18200000</v>
      </c>
      <c r="I17" s="19" t="n">
        <v>23200000</v>
      </c>
      <c r="J17" s="15" t="n">
        <v>5800000</v>
      </c>
      <c r="K17" s="15" t="n">
        <v>3855600</v>
      </c>
      <c r="L17" s="15" t="n">
        <v>15408000</v>
      </c>
      <c r="M17" s="38" t="inlineStr">
        <is>
          <t>BƠM 5 INCH CÁNH INOX</t>
        </is>
      </c>
      <c r="N17" s="44" t="inlineStr">
        <is>
          <t>Không có</t>
        </is>
      </c>
      <c r="O17" s="44" t="inlineStr">
        <is>
          <t>Không có</t>
        </is>
      </c>
      <c r="P17" s="14" t="inlineStr">
        <is>
          <t>Có</t>
        </is>
      </c>
      <c r="Q17" s="14" t="n">
        <v>5.5</v>
      </c>
      <c r="R17" s="14" t="inlineStr">
        <is>
          <t>15 - 40</t>
        </is>
      </c>
      <c r="S17" s="14" t="inlineStr">
        <is>
          <t>60 - 18</t>
        </is>
      </c>
      <c r="T17" s="14" t="inlineStr">
        <is>
          <t>2.5</t>
        </is>
      </c>
      <c r="U17" s="14" t="inlineStr">
        <is>
          <t>AQUARIS - Bơm giếng SP.pdf, tr.13</t>
        </is>
      </c>
    </row>
    <row r="18" ht="18" customHeight="1" s="1">
      <c r="A18" s="8" t="n">
        <v>17</v>
      </c>
      <c r="B18" s="8" t="inlineStr">
        <is>
          <t>5SP30-08</t>
        </is>
      </c>
      <c r="C18" s="8" t="n">
        <v>7.5</v>
      </c>
      <c r="D18" s="8" t="n">
        <v>76</v>
      </c>
      <c r="E18" s="8" t="inlineStr">
        <is>
          <t>15 - 40</t>
        </is>
      </c>
      <c r="F18" s="8" t="inlineStr">
        <is>
          <t>80 - 24</t>
        </is>
      </c>
      <c r="G18" s="9" t="n">
        <v>17500000</v>
      </c>
      <c r="H18" s="10" t="n">
        <v>21000000</v>
      </c>
      <c r="I18" s="19" t="n">
        <v>27000000</v>
      </c>
      <c r="J18" s="12" t="n">
        <v>6800000</v>
      </c>
      <c r="K18" s="12" t="n">
        <v>4428000</v>
      </c>
      <c r="L18" s="12" t="n">
        <v>20880000</v>
      </c>
      <c r="M18" s="45" t="n"/>
      <c r="N18" s="44" t="inlineStr">
        <is>
          <t>Không có</t>
        </is>
      </c>
      <c r="O18" s="44" t="inlineStr">
        <is>
          <t>Không có</t>
        </is>
      </c>
      <c r="P18" s="8" t="inlineStr">
        <is>
          <t>Có</t>
        </is>
      </c>
      <c r="Q18" s="8" t="n">
        <v>7.5</v>
      </c>
      <c r="R18" s="8" t="inlineStr">
        <is>
          <t>15 - 40</t>
        </is>
      </c>
      <c r="S18" s="8" t="inlineStr">
        <is>
          <t>80 - 24</t>
        </is>
      </c>
      <c r="T18" s="8" t="inlineStr">
        <is>
          <t>2.5</t>
        </is>
      </c>
      <c r="U18" s="8" t="inlineStr">
        <is>
          <t>AQUARIS - Bơm giếng SP.pdf, tr.13</t>
        </is>
      </c>
    </row>
    <row r="19" ht="18" customHeight="1" s="1">
      <c r="A19" s="8" t="n">
        <v>2</v>
      </c>
      <c r="B19" s="8" t="inlineStr">
        <is>
          <t>6SP30-5</t>
        </is>
      </c>
      <c r="C19" s="8" t="n">
        <v>5.5</v>
      </c>
      <c r="D19" s="8" t="n">
        <v>90</v>
      </c>
      <c r="E19" s="43" t="n">
        <v>42</v>
      </c>
      <c r="F19" s="43" t="n">
        <v>57</v>
      </c>
      <c r="G19" s="9" t="n">
        <v>14600000</v>
      </c>
      <c r="H19" s="10" t="n">
        <v>17500000</v>
      </c>
      <c r="I19" s="19" t="n">
        <v>30672000</v>
      </c>
      <c r="J19" s="12" t="n">
        <v>5700000</v>
      </c>
      <c r="K19" s="12" t="n">
        <v>4200000</v>
      </c>
      <c r="L19" s="12" t="n">
        <v>26856000</v>
      </c>
      <c r="M19" s="38" t="n"/>
      <c r="N19" s="8" t="inlineStr">
        <is>
          <t>Có</t>
        </is>
      </c>
      <c r="O19" s="8" t="inlineStr">
        <is>
          <t>Có</t>
        </is>
      </c>
      <c r="P19" s="8" t="inlineStr">
        <is>
          <t>Có</t>
        </is>
      </c>
      <c r="Q19" s="8" t="n">
        <v>5.5</v>
      </c>
      <c r="R19" s="43" t="n">
        <v>40</v>
      </c>
      <c r="S19" s="43" t="n">
        <v>66</v>
      </c>
      <c r="T19" s="8" t="inlineStr">
        <is>
          <t>3</t>
        </is>
      </c>
      <c r="U19" s="8" t="inlineStr">
        <is>
          <t>PEROTAC - Bơm giếng SP.pdf, tr.6 (hãng khác: AQUARIS, REDPUMP)</t>
        </is>
      </c>
      <c r="V19" s="8" t="inlineStr">
        <is>
          <t>Thông số AQUARIS khác PEROTAC (xem cột riêng)</t>
        </is>
      </c>
    </row>
    <row r="20" ht="18" customHeight="1" s="1">
      <c r="A20" s="8" t="n">
        <v>4</v>
      </c>
      <c r="B20" s="8" t="inlineStr">
        <is>
          <t>6SP30-7</t>
        </is>
      </c>
      <c r="C20" s="8" t="n">
        <v>7.5</v>
      </c>
      <c r="D20" s="8" t="n">
        <v>90</v>
      </c>
      <c r="E20" s="43" t="n">
        <v>42</v>
      </c>
      <c r="F20" s="43" t="n">
        <v>80</v>
      </c>
      <c r="G20" s="9" t="n">
        <v>17400000</v>
      </c>
      <c r="H20" s="10" t="n">
        <v>20900000</v>
      </c>
      <c r="I20" s="19" t="n">
        <v>34128000</v>
      </c>
      <c r="J20" s="12" t="n">
        <v>6800000</v>
      </c>
      <c r="K20" s="12" t="n">
        <v>4740000</v>
      </c>
      <c r="L20" s="12" t="n">
        <v>29952000</v>
      </c>
      <c r="M20" s="46" t="n"/>
      <c r="N20" s="8" t="inlineStr">
        <is>
          <t>Có</t>
        </is>
      </c>
      <c r="O20" s="8" t="inlineStr">
        <is>
          <t>Có</t>
        </is>
      </c>
      <c r="P20" s="8" t="inlineStr">
        <is>
          <t>Có</t>
        </is>
      </c>
      <c r="Q20" s="8" t="n">
        <v>7.5</v>
      </c>
      <c r="R20" s="43" t="n">
        <v>40</v>
      </c>
      <c r="S20" s="43" t="n">
        <v>92</v>
      </c>
      <c r="T20" s="8" t="inlineStr">
        <is>
          <t>3</t>
        </is>
      </c>
      <c r="U20" s="8" t="inlineStr">
        <is>
          <t>PEROTAC - Bơm giếng SP.pdf, tr.6 (hãng khác: AQUARIS, REDPUMP)</t>
        </is>
      </c>
      <c r="V20" s="8" t="inlineStr">
        <is>
          <t>Thông số AQUARIS khác PEROTAC (xem cột riêng)</t>
        </is>
      </c>
    </row>
    <row r="21" ht="18" customHeight="1" s="1">
      <c r="A21" s="8" t="n">
        <v>6</v>
      </c>
      <c r="B21" s="8" t="inlineStr">
        <is>
          <t>6SP46-05</t>
        </is>
      </c>
      <c r="C21" s="8" t="n">
        <v>7.5</v>
      </c>
      <c r="D21" s="8" t="n">
        <v>90</v>
      </c>
      <c r="E21" s="43" t="n">
        <v>66</v>
      </c>
      <c r="F21" s="43" t="n">
        <v>67</v>
      </c>
      <c r="G21" s="9" t="n">
        <v>17400000</v>
      </c>
      <c r="H21" s="10" t="n">
        <v>20900000</v>
      </c>
      <c r="I21" s="19" t="n">
        <v>34128000</v>
      </c>
      <c r="J21" s="12" t="n">
        <v>6800000</v>
      </c>
      <c r="K21" s="12" t="n">
        <v>4740000</v>
      </c>
      <c r="L21" s="12" t="n">
        <v>29952000</v>
      </c>
      <c r="M21" s="46" t="n"/>
      <c r="N21" s="8" t="inlineStr">
        <is>
          <t>Có</t>
        </is>
      </c>
      <c r="O21" s="8" t="inlineStr">
        <is>
          <t>Có</t>
        </is>
      </c>
      <c r="P21" s="8" t="inlineStr">
        <is>
          <t>Có</t>
        </is>
      </c>
      <c r="Q21" s="8" t="n">
        <v>7.5</v>
      </c>
      <c r="R21" s="43" t="n">
        <v>55</v>
      </c>
      <c r="S21" s="43" t="n">
        <v>66</v>
      </c>
      <c r="T21" s="8" t="inlineStr">
        <is>
          <t>3</t>
        </is>
      </c>
      <c r="U21" s="8" t="inlineStr">
        <is>
          <t>PEROTAC - Bơm giếng SP.pdf, tr.7 (hãng khác: AQUARIS, REDPUMP)</t>
        </is>
      </c>
      <c r="V21" s="8" t="inlineStr">
        <is>
          <t>Thông số AQUARIS khác PEROTAC (xem cột riêng)</t>
        </is>
      </c>
    </row>
    <row r="22" ht="18" customHeight="1" s="1">
      <c r="A22" s="14" t="n">
        <v>7</v>
      </c>
      <c r="B22" s="14" t="inlineStr">
        <is>
          <t>6SP60-04</t>
        </is>
      </c>
      <c r="C22" s="14" t="n">
        <v>7.5</v>
      </c>
      <c r="D22" s="14" t="n">
        <v>90</v>
      </c>
      <c r="E22" s="43" t="n">
        <v>78</v>
      </c>
      <c r="F22" s="14" t="n">
        <v>56</v>
      </c>
      <c r="G22" s="9" t="n">
        <v>17400000</v>
      </c>
      <c r="H22" s="10" t="n">
        <v>20900000</v>
      </c>
      <c r="I22" s="19" t="n">
        <v>34128000</v>
      </c>
      <c r="J22" s="15" t="n">
        <v>6800000</v>
      </c>
      <c r="K22" s="15" t="n">
        <v>4740000</v>
      </c>
      <c r="L22" s="15" t="n">
        <v>29952000</v>
      </c>
      <c r="M22" s="46" t="n"/>
      <c r="N22" s="14" t="inlineStr">
        <is>
          <t>Có</t>
        </is>
      </c>
      <c r="O22" s="14" t="inlineStr">
        <is>
          <t>Có</t>
        </is>
      </c>
      <c r="P22" s="14" t="inlineStr">
        <is>
          <t>Có</t>
        </is>
      </c>
      <c r="Q22" s="14" t="n">
        <v>7.5</v>
      </c>
      <c r="R22" s="43" t="n">
        <v>65</v>
      </c>
      <c r="S22" s="14" t="n">
        <v>56</v>
      </c>
      <c r="T22" s="14" t="inlineStr">
        <is>
          <t>3</t>
        </is>
      </c>
      <c r="U22" s="14" t="inlineStr">
        <is>
          <t>PEROTAC - Bơm giếng SP.pdf, tr.8 (hãng khác: AQUARIS, REDPUMP)</t>
        </is>
      </c>
      <c r="V22" s="14" t="inlineStr">
        <is>
          <t>Thông số AQUARIS khác PEROTAC (xem cột riêng)</t>
        </is>
      </c>
    </row>
    <row r="23" ht="18" customHeight="1" s="1">
      <c r="A23" s="14" t="n">
        <v>9</v>
      </c>
      <c r="B23" s="14" t="inlineStr">
        <is>
          <t>6SP30-9</t>
        </is>
      </c>
      <c r="C23" s="14" t="n">
        <v>9.199999999999999</v>
      </c>
      <c r="D23" s="14" t="n">
        <v>90</v>
      </c>
      <c r="E23" s="14" t="n">
        <v>40</v>
      </c>
      <c r="F23" s="14" t="n">
        <v>118</v>
      </c>
      <c r="G23" s="9" t="n">
        <v>19500000</v>
      </c>
      <c r="H23" s="10" t="n">
        <v>24000000</v>
      </c>
      <c r="I23" s="19" t="n">
        <v>36500000</v>
      </c>
      <c r="J23" s="14" t="n"/>
      <c r="K23" s="14" t="n"/>
      <c r="L23" s="14" t="n"/>
      <c r="M23" s="46" t="n"/>
      <c r="N23" s="44" t="inlineStr">
        <is>
          <t>Không có</t>
        </is>
      </c>
      <c r="O23" s="44" t="inlineStr">
        <is>
          <t>Không có</t>
        </is>
      </c>
      <c r="P23" s="14" t="inlineStr">
        <is>
          <t>Có</t>
        </is>
      </c>
      <c r="Q23" s="14" t="n">
        <v>9.199999999999999</v>
      </c>
      <c r="R23" s="14" t="n">
        <v>40</v>
      </c>
      <c r="S23" s="14" t="n">
        <v>118</v>
      </c>
      <c r="T23" s="14" t="inlineStr">
        <is>
          <t>3</t>
        </is>
      </c>
      <c r="U23" s="14" t="inlineStr">
        <is>
          <t>AQUARIS - Bơm giếng SP.pdf, tr.17</t>
        </is>
      </c>
    </row>
    <row r="24" ht="18" customHeight="1" s="1">
      <c r="A24" s="8" t="n">
        <v>10</v>
      </c>
      <c r="B24" s="8" t="inlineStr">
        <is>
          <t>6SP46-06</t>
        </is>
      </c>
      <c r="C24" s="8" t="n">
        <v>9.199999999999999</v>
      </c>
      <c r="D24" s="8" t="n">
        <v>90</v>
      </c>
      <c r="E24" s="43" t="n">
        <v>66</v>
      </c>
      <c r="F24" s="43" t="n">
        <v>80</v>
      </c>
      <c r="G24" s="9" t="n">
        <v>19500000</v>
      </c>
      <c r="H24" s="10" t="n">
        <v>24000000</v>
      </c>
      <c r="I24" s="19" t="n">
        <v>36500000</v>
      </c>
      <c r="J24" s="8" t="n"/>
      <c r="K24" s="8" t="n"/>
      <c r="L24" s="8" t="n"/>
      <c r="M24" s="46" t="n"/>
      <c r="N24" s="8" t="inlineStr">
        <is>
          <t>Có</t>
        </is>
      </c>
      <c r="O24" s="8" t="inlineStr">
        <is>
          <t>Có</t>
        </is>
      </c>
      <c r="P24" s="8" t="inlineStr">
        <is>
          <t>Có</t>
        </is>
      </c>
      <c r="Q24" s="8" t="n">
        <v>9.199999999999999</v>
      </c>
      <c r="R24" s="43" t="n">
        <v>55</v>
      </c>
      <c r="S24" s="43" t="n">
        <v>79</v>
      </c>
      <c r="T24" s="8" t="inlineStr">
        <is>
          <t>3</t>
        </is>
      </c>
      <c r="U24" s="8" t="inlineStr">
        <is>
          <t>PEROTAC - Bơm giếng SP.pdf, tr.7 (hãng khác: AQUARIS, REDPUMP)</t>
        </is>
      </c>
      <c r="V24" s="8" t="inlineStr">
        <is>
          <t>Thông số AQUARIS khác PEROTAC (xem cột riêng)</t>
        </is>
      </c>
    </row>
    <row r="25" ht="18" customHeight="1" s="1">
      <c r="A25" s="14" t="n">
        <v>11</v>
      </c>
      <c r="B25" s="14" t="inlineStr">
        <is>
          <t>6SP60-05</t>
        </is>
      </c>
      <c r="C25" s="14" t="n">
        <v>9.199999999999999</v>
      </c>
      <c r="D25" s="14" t="n">
        <v>90</v>
      </c>
      <c r="E25" s="43" t="n">
        <v>78</v>
      </c>
      <c r="F25" s="14" t="n">
        <v>70</v>
      </c>
      <c r="G25" s="9" t="n">
        <v>19500000</v>
      </c>
      <c r="H25" s="10" t="n">
        <v>24000000</v>
      </c>
      <c r="I25" s="19" t="n">
        <v>36500000</v>
      </c>
      <c r="J25" s="14" t="n"/>
      <c r="K25" s="14" t="n"/>
      <c r="L25" s="14" t="n"/>
      <c r="M25" s="46" t="n"/>
      <c r="N25" s="14" t="inlineStr">
        <is>
          <t>Có</t>
        </is>
      </c>
      <c r="O25" s="14" t="inlineStr">
        <is>
          <t>Có</t>
        </is>
      </c>
      <c r="P25" s="14" t="inlineStr">
        <is>
          <t>Có</t>
        </is>
      </c>
      <c r="Q25" s="14" t="n">
        <v>9.199999999999999</v>
      </c>
      <c r="R25" s="43" t="n">
        <v>65</v>
      </c>
      <c r="S25" s="14" t="n">
        <v>70</v>
      </c>
      <c r="T25" s="14" t="inlineStr">
        <is>
          <t>3</t>
        </is>
      </c>
      <c r="U25" s="14" t="inlineStr">
        <is>
          <t>PEROTAC - Bơm giếng SP.pdf, tr.8 (hãng khác: AQUARIS, REDPUMP)</t>
        </is>
      </c>
      <c r="V25" s="14" t="inlineStr">
        <is>
          <t>Thông số AQUARIS khác PEROTAC (xem cột riêng)</t>
        </is>
      </c>
    </row>
    <row r="26" ht="18" customHeight="1" s="1">
      <c r="A26" s="14" t="n">
        <v>13</v>
      </c>
      <c r="B26" s="14" t="inlineStr">
        <is>
          <t>6SP30-12</t>
        </is>
      </c>
      <c r="C26" s="14" t="n">
        <v>11</v>
      </c>
      <c r="D26" s="14" t="n">
        <v>90</v>
      </c>
      <c r="E26" s="14" t="n">
        <v>40</v>
      </c>
      <c r="F26" s="14" t="n">
        <v>157</v>
      </c>
      <c r="G26" s="9" t="n">
        <v>22100000</v>
      </c>
      <c r="H26" s="10" t="n">
        <v>26500000</v>
      </c>
      <c r="I26" s="19" t="n">
        <v>38880000</v>
      </c>
      <c r="J26" s="15" t="n">
        <v>8400000</v>
      </c>
      <c r="K26" s="15" t="n">
        <v>6000000</v>
      </c>
      <c r="L26" s="15" t="n">
        <v>34056000</v>
      </c>
      <c r="M26" s="46" t="n"/>
      <c r="N26" s="44" t="inlineStr">
        <is>
          <t>Không có</t>
        </is>
      </c>
      <c r="O26" s="44" t="inlineStr">
        <is>
          <t>Không có</t>
        </is>
      </c>
      <c r="P26" s="14" t="inlineStr">
        <is>
          <t>Có</t>
        </is>
      </c>
      <c r="Q26" s="14" t="n">
        <v>11</v>
      </c>
      <c r="R26" s="14" t="n">
        <v>40</v>
      </c>
      <c r="S26" s="14" t="n">
        <v>157</v>
      </c>
      <c r="T26" s="14" t="inlineStr">
        <is>
          <t>3</t>
        </is>
      </c>
      <c r="U26" s="14" t="inlineStr">
        <is>
          <t>AQUARIS - Bơm giếng SP.pdf, tr.17</t>
        </is>
      </c>
    </row>
    <row r="27" ht="18" customHeight="1" s="1">
      <c r="A27" s="8" t="n">
        <v>14</v>
      </c>
      <c r="B27" s="8" t="inlineStr">
        <is>
          <t>6SP46-07</t>
        </is>
      </c>
      <c r="C27" s="8" t="n">
        <v>11</v>
      </c>
      <c r="D27" s="8" t="n">
        <v>90</v>
      </c>
      <c r="E27" s="43" t="n">
        <v>66</v>
      </c>
      <c r="F27" s="43" t="n">
        <v>94</v>
      </c>
      <c r="G27" s="9" t="n">
        <v>22100000</v>
      </c>
      <c r="H27" s="10" t="n">
        <v>26500000</v>
      </c>
      <c r="I27" s="19" t="n">
        <v>38880000</v>
      </c>
      <c r="J27" s="12" t="n">
        <v>8400000</v>
      </c>
      <c r="K27" s="12" t="n">
        <v>6000000</v>
      </c>
      <c r="L27" s="12" t="n">
        <v>34056000</v>
      </c>
      <c r="M27" s="46" t="n"/>
      <c r="N27" s="8" t="inlineStr">
        <is>
          <t>Có</t>
        </is>
      </c>
      <c r="O27" s="8" t="inlineStr">
        <is>
          <t>Có</t>
        </is>
      </c>
      <c r="P27" s="8" t="inlineStr">
        <is>
          <t>Có</t>
        </is>
      </c>
      <c r="Q27" s="8" t="n">
        <v>11</v>
      </c>
      <c r="R27" s="43" t="n">
        <v>55</v>
      </c>
      <c r="S27" s="43" t="n">
        <v>92</v>
      </c>
      <c r="T27" s="8" t="inlineStr">
        <is>
          <t>3</t>
        </is>
      </c>
      <c r="U27" s="8" t="inlineStr">
        <is>
          <t>PEROTAC - Bơm giếng SP.pdf, tr.7 (hãng khác: AQUARIS, REDPUMP)</t>
        </is>
      </c>
      <c r="V27" s="8" t="inlineStr">
        <is>
          <t>Thông số AQUARIS khác PEROTAC (xem cột riêng)</t>
        </is>
      </c>
    </row>
    <row r="28" ht="18" customHeight="1" s="1">
      <c r="A28" s="14" t="n">
        <v>15</v>
      </c>
      <c r="B28" s="14" t="inlineStr">
        <is>
          <t>6SP60-06</t>
        </is>
      </c>
      <c r="C28" s="14" t="n">
        <v>11</v>
      </c>
      <c r="D28" s="14" t="n">
        <v>90</v>
      </c>
      <c r="E28" s="43" t="n">
        <v>78</v>
      </c>
      <c r="F28" s="14" t="n">
        <v>84</v>
      </c>
      <c r="G28" s="9" t="n">
        <v>22100000</v>
      </c>
      <c r="H28" s="10" t="n">
        <v>26500000</v>
      </c>
      <c r="I28" s="19" t="n">
        <v>38880000</v>
      </c>
      <c r="J28" s="15" t="n">
        <v>8400000</v>
      </c>
      <c r="K28" s="15" t="n">
        <v>6000000</v>
      </c>
      <c r="L28" s="15" t="n">
        <v>34056000</v>
      </c>
      <c r="M28" s="46" t="n"/>
      <c r="N28" s="14" t="inlineStr">
        <is>
          <t>Có</t>
        </is>
      </c>
      <c r="O28" s="14" t="inlineStr">
        <is>
          <t>Có</t>
        </is>
      </c>
      <c r="P28" s="14" t="inlineStr">
        <is>
          <t>Có</t>
        </is>
      </c>
      <c r="Q28" s="14" t="n">
        <v>11</v>
      </c>
      <c r="R28" s="43" t="n">
        <v>65</v>
      </c>
      <c r="S28" s="14" t="n">
        <v>84</v>
      </c>
      <c r="T28" s="14" t="inlineStr">
        <is>
          <t>3</t>
        </is>
      </c>
      <c r="U28" s="14" t="inlineStr">
        <is>
          <t>PEROTAC - Bơm giếng SP.pdf, tr.8 (hãng khác: AQUARIS, REDPUMP)</t>
        </is>
      </c>
      <c r="V28" s="14" t="inlineStr">
        <is>
          <t>Thông số AQUARIS khác PEROTAC (xem cột riêng)</t>
        </is>
      </c>
    </row>
    <row r="29" ht="18" customHeight="1" s="1">
      <c r="A29" s="14" t="n">
        <v>17</v>
      </c>
      <c r="B29" s="14" t="inlineStr">
        <is>
          <t>6SP30-16</t>
        </is>
      </c>
      <c r="C29" s="14" t="n">
        <v>15</v>
      </c>
      <c r="D29" s="14" t="n">
        <v>90</v>
      </c>
      <c r="E29" s="14" t="n">
        <v>40</v>
      </c>
      <c r="F29" s="14" t="n">
        <v>210</v>
      </c>
      <c r="G29" s="9" t="n">
        <v>26600000</v>
      </c>
      <c r="H29" s="10" t="n">
        <v>31900000</v>
      </c>
      <c r="I29" s="19" t="n">
        <v>46224000</v>
      </c>
      <c r="J29" s="15" t="n">
        <v>12000000</v>
      </c>
      <c r="K29" s="15" t="n">
        <v>7200000</v>
      </c>
      <c r="L29" s="15" t="n">
        <v>40464000</v>
      </c>
      <c r="M29" s="46" t="n"/>
      <c r="N29" s="44" t="inlineStr">
        <is>
          <t>Không có</t>
        </is>
      </c>
      <c r="O29" s="44" t="inlineStr">
        <is>
          <t>Không có</t>
        </is>
      </c>
      <c r="P29" s="14" t="inlineStr">
        <is>
          <t>Có</t>
        </is>
      </c>
      <c r="Q29" s="14" t="n">
        <v>15</v>
      </c>
      <c r="R29" s="14" t="n">
        <v>40</v>
      </c>
      <c r="S29" s="14" t="n">
        <v>210</v>
      </c>
      <c r="T29" s="14" t="inlineStr">
        <is>
          <t>3</t>
        </is>
      </c>
      <c r="U29" s="14" t="inlineStr">
        <is>
          <t>AQUARIS - Bơm giếng SP.pdf, tr.17</t>
        </is>
      </c>
    </row>
    <row r="30" ht="18" customHeight="1" s="1">
      <c r="A30" s="8" t="n">
        <v>18</v>
      </c>
      <c r="B30" s="8" t="inlineStr">
        <is>
          <t>6SP46-10</t>
        </is>
      </c>
      <c r="C30" s="8" t="n">
        <v>15</v>
      </c>
      <c r="D30" s="8" t="n">
        <v>90</v>
      </c>
      <c r="E30" s="43" t="n">
        <v>66</v>
      </c>
      <c r="F30" s="43" t="n">
        <v>134</v>
      </c>
      <c r="G30" s="9" t="n">
        <v>26600000</v>
      </c>
      <c r="H30" s="10" t="n">
        <v>31900000</v>
      </c>
      <c r="I30" s="19" t="n">
        <v>46224000</v>
      </c>
      <c r="J30" s="12" t="n">
        <v>12000000</v>
      </c>
      <c r="K30" s="12" t="n">
        <v>7200000</v>
      </c>
      <c r="L30" s="12" t="n">
        <v>40464000</v>
      </c>
      <c r="M30" s="46" t="n"/>
      <c r="N30" s="8" t="inlineStr">
        <is>
          <t>Có</t>
        </is>
      </c>
      <c r="O30" s="8" t="inlineStr">
        <is>
          <t>Có</t>
        </is>
      </c>
      <c r="P30" s="8" t="inlineStr">
        <is>
          <t>Có</t>
        </is>
      </c>
      <c r="Q30" s="8" t="n">
        <v>15</v>
      </c>
      <c r="R30" s="43" t="n">
        <v>55</v>
      </c>
      <c r="S30" s="43" t="n">
        <v>132</v>
      </c>
      <c r="T30" s="8" t="inlineStr">
        <is>
          <t>3</t>
        </is>
      </c>
      <c r="U30" s="8" t="inlineStr">
        <is>
          <t>PEROTAC - Bơm giếng SP.pdf, tr.7 (hãng khác: AQUARIS, REDPUMP)</t>
        </is>
      </c>
      <c r="V30" s="8" t="inlineStr">
        <is>
          <t>Thông số AQUARIS khác PEROTAC (xem cột riêng)</t>
        </is>
      </c>
    </row>
    <row r="31" ht="18" customHeight="1" s="1">
      <c r="A31" s="14" t="n">
        <v>19</v>
      </c>
      <c r="B31" s="14" t="inlineStr">
        <is>
          <t>6SP60-08</t>
        </is>
      </c>
      <c r="C31" s="14" t="n">
        <v>15</v>
      </c>
      <c r="D31" s="14" t="n">
        <v>90</v>
      </c>
      <c r="E31" s="43" t="n">
        <v>78</v>
      </c>
      <c r="F31" s="14" t="n">
        <v>112</v>
      </c>
      <c r="G31" s="9" t="n">
        <v>26600000</v>
      </c>
      <c r="H31" s="10" t="n">
        <v>31900000</v>
      </c>
      <c r="I31" s="19" t="n">
        <v>46224000</v>
      </c>
      <c r="J31" s="15" t="n">
        <v>12000000</v>
      </c>
      <c r="K31" s="15" t="n">
        <v>7200000</v>
      </c>
      <c r="L31" s="15" t="n">
        <v>40464000</v>
      </c>
      <c r="M31" s="46" t="n"/>
      <c r="N31" s="14" t="inlineStr">
        <is>
          <t>Có</t>
        </is>
      </c>
      <c r="O31" s="14" t="inlineStr">
        <is>
          <t>Có</t>
        </is>
      </c>
      <c r="P31" s="14" t="inlineStr">
        <is>
          <t>Có</t>
        </is>
      </c>
      <c r="Q31" s="14" t="n">
        <v>15</v>
      </c>
      <c r="R31" s="43" t="n">
        <v>65</v>
      </c>
      <c r="S31" s="14" t="n">
        <v>112</v>
      </c>
      <c r="T31" s="14" t="inlineStr">
        <is>
          <t>3</t>
        </is>
      </c>
      <c r="U31" s="14" t="inlineStr">
        <is>
          <t>PEROTAC - Bơm giếng SP.pdf, tr.8 (hãng khác: AQUARIS, REDPUMP)</t>
        </is>
      </c>
      <c r="V31" s="14" t="inlineStr">
        <is>
          <t>Thông số AQUARIS khác PEROTAC (xem cột riêng)</t>
        </is>
      </c>
    </row>
    <row r="32" ht="18" customHeight="1" s="1">
      <c r="A32" s="14" t="n">
        <v>21</v>
      </c>
      <c r="B32" s="14" t="inlineStr">
        <is>
          <t>6SP30-19</t>
        </is>
      </c>
      <c r="C32" s="14" t="n">
        <v>18.5</v>
      </c>
      <c r="D32" s="14" t="n">
        <v>90</v>
      </c>
      <c r="E32" s="14" t="n">
        <v>40</v>
      </c>
      <c r="F32" s="14" t="n">
        <v>249</v>
      </c>
      <c r="G32" s="9" t="n">
        <v>33700000</v>
      </c>
      <c r="H32" s="10" t="n">
        <v>40400000</v>
      </c>
      <c r="I32" s="19" t="n">
        <v>50500000</v>
      </c>
      <c r="J32" s="15" t="n">
        <v>13000000</v>
      </c>
      <c r="K32" s="15" t="n">
        <v>13500000</v>
      </c>
      <c r="L32" s="15" t="n">
        <v>44064000</v>
      </c>
      <c r="M32" s="46" t="n"/>
      <c r="N32" s="44" t="inlineStr">
        <is>
          <t>Không có</t>
        </is>
      </c>
      <c r="O32" s="44" t="inlineStr">
        <is>
          <t>Không có</t>
        </is>
      </c>
      <c r="P32" s="14" t="inlineStr">
        <is>
          <t>Có</t>
        </is>
      </c>
      <c r="Q32" s="14" t="n">
        <v>18.5</v>
      </c>
      <c r="R32" s="14" t="n">
        <v>40</v>
      </c>
      <c r="S32" s="14" t="n">
        <v>249</v>
      </c>
      <c r="T32" s="14" t="inlineStr">
        <is>
          <t>3</t>
        </is>
      </c>
      <c r="U32" s="14" t="inlineStr">
        <is>
          <t>AQUARIS - Bơm giếng SP.pdf, tr.17</t>
        </is>
      </c>
    </row>
    <row r="33" ht="18" customHeight="1" s="1">
      <c r="A33" s="8" t="n">
        <v>22</v>
      </c>
      <c r="B33" s="8" t="inlineStr">
        <is>
          <t>6SP46-12</t>
        </is>
      </c>
      <c r="C33" s="8" t="n">
        <v>18.5</v>
      </c>
      <c r="D33" s="8" t="n">
        <v>90</v>
      </c>
      <c r="E33" s="43" t="n">
        <v>66</v>
      </c>
      <c r="F33" s="43" t="n">
        <v>161</v>
      </c>
      <c r="G33" s="9" t="n">
        <v>33700000</v>
      </c>
      <c r="H33" s="10" t="n">
        <v>40400000</v>
      </c>
      <c r="I33" s="19" t="n">
        <v>50500000</v>
      </c>
      <c r="J33" s="12" t="n">
        <v>13000000</v>
      </c>
      <c r="K33" s="12" t="n">
        <v>13500000</v>
      </c>
      <c r="L33" s="12" t="n">
        <v>44064000</v>
      </c>
      <c r="M33" s="46" t="n"/>
      <c r="N33" s="8" t="inlineStr">
        <is>
          <t>Có</t>
        </is>
      </c>
      <c r="O33" s="8" t="inlineStr">
        <is>
          <t>Có</t>
        </is>
      </c>
      <c r="P33" s="8" t="inlineStr">
        <is>
          <t>Có</t>
        </is>
      </c>
      <c r="Q33" s="8" t="n">
        <v>18.5</v>
      </c>
      <c r="R33" s="43" t="n">
        <v>55</v>
      </c>
      <c r="S33" s="43" t="n">
        <v>158</v>
      </c>
      <c r="T33" s="8" t="inlineStr">
        <is>
          <t>3</t>
        </is>
      </c>
      <c r="U33" s="8" t="inlineStr">
        <is>
          <t>PEROTAC - Bơm giếng SP.pdf, tr.7 (hãng khác: AQUARIS, REDPUMP)</t>
        </is>
      </c>
      <c r="V33" s="8" t="inlineStr">
        <is>
          <t>Thông số AQUARIS khác PEROTAC (xem cột riêng)</t>
        </is>
      </c>
    </row>
    <row r="34" ht="18" customHeight="1" s="1">
      <c r="A34" s="8" t="n">
        <v>24</v>
      </c>
      <c r="B34" s="8" t="inlineStr">
        <is>
          <t>6SP60-10</t>
        </is>
      </c>
      <c r="C34" s="8" t="n">
        <v>18.5</v>
      </c>
      <c r="D34" s="8" t="n">
        <v>90</v>
      </c>
      <c r="E34" s="43" t="n">
        <v>78</v>
      </c>
      <c r="F34" s="8" t="n">
        <v>140</v>
      </c>
      <c r="G34" s="9" t="n">
        <v>33700000</v>
      </c>
      <c r="H34" s="10" t="n">
        <v>40400000</v>
      </c>
      <c r="I34" s="19" t="n">
        <v>50500000</v>
      </c>
      <c r="J34" s="12" t="n">
        <v>13000000</v>
      </c>
      <c r="K34" s="12" t="n">
        <v>13500000</v>
      </c>
      <c r="L34" s="12" t="n">
        <v>44064000</v>
      </c>
      <c r="M34" s="46" t="n"/>
      <c r="N34" s="8" t="inlineStr">
        <is>
          <t>Có</t>
        </is>
      </c>
      <c r="O34" s="8" t="inlineStr">
        <is>
          <t>Có</t>
        </is>
      </c>
      <c r="P34" s="8" t="inlineStr">
        <is>
          <t>Có</t>
        </is>
      </c>
      <c r="Q34" s="8" t="n">
        <v>18.5</v>
      </c>
      <c r="R34" s="43" t="n">
        <v>65</v>
      </c>
      <c r="S34" s="8" t="n">
        <v>140</v>
      </c>
      <c r="T34" s="8" t="inlineStr">
        <is>
          <t>3</t>
        </is>
      </c>
      <c r="U34" s="8" t="inlineStr">
        <is>
          <t>PEROTAC - Bơm giếng SP.pdf, tr.8 (hãng khác: AQUARIS, REDPUMP)</t>
        </is>
      </c>
      <c r="V34" s="8" t="inlineStr">
        <is>
          <t>Thông số AQUARIS khác PEROTAC (xem cột riêng)</t>
        </is>
      </c>
    </row>
    <row r="35" ht="18" customHeight="1" s="1">
      <c r="A35" s="14" t="n">
        <v>25</v>
      </c>
      <c r="B35" s="14" t="inlineStr">
        <is>
          <t>6SP20-32</t>
        </is>
      </c>
      <c r="C35" s="14" t="n">
        <v>22</v>
      </c>
      <c r="D35" s="14" t="n">
        <v>90</v>
      </c>
      <c r="E35" s="43" t="n">
        <v>30</v>
      </c>
      <c r="F35" s="14" t="n">
        <v>352</v>
      </c>
      <c r="G35" s="9" t="n">
        <v>40900000</v>
      </c>
      <c r="H35" s="10" t="n">
        <v>49100000</v>
      </c>
      <c r="I35" s="19" t="n">
        <v>58300000</v>
      </c>
      <c r="J35" s="15" t="n">
        <v>17000000</v>
      </c>
      <c r="K35" s="15" t="n">
        <v>15000000</v>
      </c>
      <c r="L35" s="15" t="n">
        <v>48384000</v>
      </c>
      <c r="M35" s="46" t="n"/>
      <c r="N35" s="44" t="inlineStr">
        <is>
          <t>Không có</t>
        </is>
      </c>
      <c r="O35" s="44" t="inlineStr">
        <is>
          <t>Không có</t>
        </is>
      </c>
      <c r="P35" s="14" t="inlineStr">
        <is>
          <t>Có</t>
        </is>
      </c>
      <c r="Q35" s="14" t="n">
        <v>22</v>
      </c>
      <c r="R35" s="14" t="n">
        <v>30</v>
      </c>
      <c r="S35" s="14" t="n">
        <v>352</v>
      </c>
      <c r="T35" s="14" t="inlineStr">
        <is>
          <t>3</t>
        </is>
      </c>
      <c r="U35" s="14" t="inlineStr">
        <is>
          <t>AQUARIS - Bơm giếng SP.pdf, tr.15</t>
        </is>
      </c>
    </row>
    <row r="36" ht="18" customHeight="1" s="1">
      <c r="A36" s="8" t="n">
        <v>26</v>
      </c>
      <c r="B36" s="8" t="inlineStr">
        <is>
          <t>6SP30-23</t>
        </is>
      </c>
      <c r="C36" s="8" t="n">
        <v>22</v>
      </c>
      <c r="D36" s="8" t="n">
        <v>90</v>
      </c>
      <c r="E36" s="8" t="n">
        <v>40</v>
      </c>
      <c r="F36" s="8" t="n">
        <v>302</v>
      </c>
      <c r="G36" s="9" t="n">
        <v>40900000</v>
      </c>
      <c r="H36" s="10" t="n">
        <v>49100000</v>
      </c>
      <c r="I36" s="19" t="n">
        <v>58300000</v>
      </c>
      <c r="J36" s="12" t="n">
        <v>17000000</v>
      </c>
      <c r="K36" s="12" t="n">
        <v>15000000</v>
      </c>
      <c r="L36" s="12" t="n">
        <v>48384000</v>
      </c>
      <c r="M36" s="46" t="n"/>
      <c r="N36" s="44" t="inlineStr">
        <is>
          <t>Không có</t>
        </is>
      </c>
      <c r="O36" s="44" t="inlineStr">
        <is>
          <t>Không có</t>
        </is>
      </c>
      <c r="P36" s="8" t="inlineStr">
        <is>
          <t>Có</t>
        </is>
      </c>
      <c r="Q36" s="8" t="n">
        <v>22</v>
      </c>
      <c r="R36" s="8" t="n">
        <v>40</v>
      </c>
      <c r="S36" s="8" t="n">
        <v>302</v>
      </c>
      <c r="T36" s="8" t="inlineStr">
        <is>
          <t>3</t>
        </is>
      </c>
      <c r="U36" s="8" t="inlineStr">
        <is>
          <t>AQUARIS - Bơm giếng SP.pdf, tr.17</t>
        </is>
      </c>
    </row>
    <row r="37" ht="18" customHeight="1" s="1">
      <c r="A37" s="14" t="n">
        <v>27</v>
      </c>
      <c r="B37" s="14" t="inlineStr">
        <is>
          <t>6SP46-14</t>
        </is>
      </c>
      <c r="C37" s="14" t="n">
        <v>22</v>
      </c>
      <c r="D37" s="14" t="n">
        <v>90</v>
      </c>
      <c r="E37" s="43" t="n">
        <v>66</v>
      </c>
      <c r="F37" s="43" t="n">
        <v>188</v>
      </c>
      <c r="G37" s="9" t="n">
        <v>40900000</v>
      </c>
      <c r="H37" s="10" t="n">
        <v>49100000</v>
      </c>
      <c r="I37" s="19" t="n">
        <v>58300000</v>
      </c>
      <c r="J37" s="15" t="n">
        <v>17000000</v>
      </c>
      <c r="K37" s="15" t="n">
        <v>15000000</v>
      </c>
      <c r="L37" s="15" t="n">
        <v>48384000</v>
      </c>
      <c r="M37" s="46" t="n"/>
      <c r="N37" s="14" t="inlineStr">
        <is>
          <t>Có</t>
        </is>
      </c>
      <c r="O37" s="14" t="inlineStr">
        <is>
          <t>Có</t>
        </is>
      </c>
      <c r="P37" s="14" t="inlineStr">
        <is>
          <t>Có</t>
        </is>
      </c>
      <c r="Q37" s="14" t="n">
        <v>22</v>
      </c>
      <c r="R37" s="43" t="n">
        <v>55</v>
      </c>
      <c r="S37" s="43" t="n">
        <v>185</v>
      </c>
      <c r="T37" s="14" t="inlineStr">
        <is>
          <t>3</t>
        </is>
      </c>
      <c r="U37" s="14" t="inlineStr">
        <is>
          <t>PEROTAC - Bơm giếng SP.pdf, tr.7 (hãng khác: AQUARIS, REDPUMP)</t>
        </is>
      </c>
      <c r="V37" s="14" t="inlineStr">
        <is>
          <t>Thông số AQUARIS khác PEROTAC (xem cột riêng)</t>
        </is>
      </c>
    </row>
    <row r="38" ht="18" customHeight="1" s="1">
      <c r="A38" s="14" t="n">
        <v>29</v>
      </c>
      <c r="B38" s="14" t="inlineStr">
        <is>
          <t>6SP60-12</t>
        </is>
      </c>
      <c r="C38" s="14" t="n">
        <v>22</v>
      </c>
      <c r="D38" s="14" t="n">
        <v>90</v>
      </c>
      <c r="E38" s="43" t="n">
        <v>78</v>
      </c>
      <c r="F38" s="14" t="n">
        <v>168</v>
      </c>
      <c r="G38" s="9" t="n">
        <v>40900000</v>
      </c>
      <c r="H38" s="10" t="n">
        <v>49100000</v>
      </c>
      <c r="I38" s="19" t="n">
        <v>58300000</v>
      </c>
      <c r="J38" s="15" t="n">
        <v>17000000</v>
      </c>
      <c r="K38" s="15" t="n">
        <v>15000000</v>
      </c>
      <c r="L38" s="15" t="n">
        <v>48384000</v>
      </c>
      <c r="M38" s="46" t="n"/>
      <c r="N38" s="14" t="inlineStr">
        <is>
          <t>Có</t>
        </is>
      </c>
      <c r="O38" s="14" t="inlineStr">
        <is>
          <t>Có</t>
        </is>
      </c>
      <c r="P38" s="14" t="inlineStr">
        <is>
          <t>Có</t>
        </is>
      </c>
      <c r="Q38" s="14" t="n">
        <v>22</v>
      </c>
      <c r="R38" s="43" t="n">
        <v>65</v>
      </c>
      <c r="S38" s="14" t="n">
        <v>168</v>
      </c>
      <c r="T38" s="14" t="inlineStr">
        <is>
          <t>3</t>
        </is>
      </c>
      <c r="U38" s="14" t="inlineStr">
        <is>
          <t>PEROTAC - Bơm giếng SP.pdf, tr.8 (hãng khác: AQUARIS, REDPUMP)</t>
        </is>
      </c>
      <c r="V38" s="14" t="inlineStr">
        <is>
          <t>Thông số AQUARIS khác PEROTAC (xem cột riêng)</t>
        </is>
      </c>
    </row>
    <row r="39" ht="18" customHeight="1" s="1">
      <c r="A39" s="8" t="n">
        <v>30</v>
      </c>
      <c r="B39" s="8" t="inlineStr">
        <is>
          <t>6SP46-18</t>
        </is>
      </c>
      <c r="C39" s="8" t="n">
        <v>30</v>
      </c>
      <c r="D39" s="8" t="n">
        <v>90</v>
      </c>
      <c r="E39" s="43" t="n">
        <v>66</v>
      </c>
      <c r="F39" s="43" t="n">
        <v>241</v>
      </c>
      <c r="G39" s="9" t="n">
        <v>52100000</v>
      </c>
      <c r="H39" s="10" t="n">
        <v>62500000</v>
      </c>
      <c r="I39" s="19" t="n">
        <v>78800000</v>
      </c>
      <c r="J39" s="12" t="n">
        <v>19000000</v>
      </c>
      <c r="K39" s="12" t="n">
        <v>22500000</v>
      </c>
      <c r="L39" s="12" t="n">
        <v>57096000</v>
      </c>
      <c r="M39" s="46" t="n"/>
      <c r="N39" s="8" t="inlineStr">
        <is>
          <t>Có</t>
        </is>
      </c>
      <c r="O39" s="8" t="inlineStr">
        <is>
          <t>Có</t>
        </is>
      </c>
      <c r="P39" s="8" t="inlineStr">
        <is>
          <t>Có</t>
        </is>
      </c>
      <c r="Q39" s="8" t="n">
        <v>30</v>
      </c>
      <c r="R39" s="43" t="n">
        <v>55</v>
      </c>
      <c r="S39" s="43" t="n">
        <v>238</v>
      </c>
      <c r="T39" s="8" t="inlineStr">
        <is>
          <t>3</t>
        </is>
      </c>
      <c r="U39" s="8" t="inlineStr">
        <is>
          <t>PEROTAC - Bơm giếng SP.pdf, tr.7 (hãng khác: AQUARIS, REDPUMP)</t>
        </is>
      </c>
      <c r="V39" s="8" t="inlineStr">
        <is>
          <t>Thông số AQUARIS khác PEROTAC (xem cột riêng)</t>
        </is>
      </c>
    </row>
    <row r="40" ht="18" customHeight="1" s="1">
      <c r="A40" s="14" t="n">
        <v>31</v>
      </c>
      <c r="B40" s="14" t="inlineStr">
        <is>
          <t>6SP60-16</t>
        </is>
      </c>
      <c r="C40" s="14" t="n">
        <v>30</v>
      </c>
      <c r="D40" s="14" t="n">
        <v>90</v>
      </c>
      <c r="E40" s="43" t="n">
        <v>78</v>
      </c>
      <c r="F40" s="14" t="n">
        <v>224</v>
      </c>
      <c r="G40" s="9" t="n">
        <v>52100000</v>
      </c>
      <c r="H40" s="10" t="n">
        <v>62500000</v>
      </c>
      <c r="I40" s="19" t="n">
        <v>78800000</v>
      </c>
      <c r="J40" s="15" t="n">
        <v>19000000</v>
      </c>
      <c r="K40" s="15" t="n">
        <v>22500000</v>
      </c>
      <c r="L40" s="15" t="n">
        <v>57096000</v>
      </c>
      <c r="M40" s="45" t="n"/>
      <c r="N40" s="14" t="inlineStr">
        <is>
          <t>Có</t>
        </is>
      </c>
      <c r="O40" s="14" t="inlineStr">
        <is>
          <t>Có</t>
        </is>
      </c>
      <c r="P40" s="14" t="inlineStr">
        <is>
          <t>Có</t>
        </is>
      </c>
      <c r="Q40" s="14" t="n">
        <v>30</v>
      </c>
      <c r="R40" s="43" t="n">
        <v>65</v>
      </c>
      <c r="S40" s="14" t="n">
        <v>224</v>
      </c>
      <c r="T40" s="14" t="inlineStr">
        <is>
          <t>3</t>
        </is>
      </c>
      <c r="U40" s="14" t="inlineStr">
        <is>
          <t>PEROTAC - Bơm giếng SP.pdf, tr.8 (hãng khác: AQUARIS, REDPUMP)</t>
        </is>
      </c>
      <c r="V40" s="14" t="inlineStr">
        <is>
          <t>Thông số AQUARIS khác PEROTAC (xem cột riêng)</t>
        </is>
      </c>
    </row>
    <row r="41" ht="18" customHeight="1" s="1">
      <c r="A41" s="8" t="n">
        <v>1</v>
      </c>
      <c r="B41" s="8" t="inlineStr">
        <is>
          <t>8SP77-04</t>
        </is>
      </c>
      <c r="C41" s="8" t="n">
        <v>15</v>
      </c>
      <c r="D41" s="8" t="n"/>
      <c r="E41" s="43" t="n">
        <v>96</v>
      </c>
      <c r="F41" s="43" t="n">
        <v>80</v>
      </c>
      <c r="G41" s="9" t="n">
        <v>28100000</v>
      </c>
      <c r="H41" s="10" t="n">
        <v>33700000</v>
      </c>
      <c r="I41" s="19" t="n">
        <v>47952000</v>
      </c>
      <c r="J41" s="12" t="n">
        <v>12000000</v>
      </c>
      <c r="K41" s="12" t="n">
        <v>7200000</v>
      </c>
      <c r="L41" s="12" t="n">
        <v>41976000</v>
      </c>
      <c r="M41" s="39" t="inlineStr">
        <is>
          <t>BƠM 8 INCH CÁNH INOX</t>
        </is>
      </c>
      <c r="N41" s="8" t="inlineStr">
        <is>
          <t>Có</t>
        </is>
      </c>
      <c r="O41" s="8" t="inlineStr">
        <is>
          <t>Có</t>
        </is>
      </c>
      <c r="P41" s="8" t="inlineStr">
        <is>
          <t>Có</t>
        </is>
      </c>
      <c r="Q41" s="8" t="n">
        <v>15</v>
      </c>
      <c r="R41" s="43" t="n">
        <v>90</v>
      </c>
      <c r="S41" s="43" t="n">
        <v>79</v>
      </c>
      <c r="T41" s="8" t="inlineStr">
        <is>
          <t>5</t>
        </is>
      </c>
      <c r="U41" s="8" t="inlineStr">
        <is>
          <t>PEROTAC - Bơm giếng SP.pdf, tr.10 (hãng khác: AQUARIS, REDPUMP)</t>
        </is>
      </c>
      <c r="V41" s="8" t="inlineStr">
        <is>
          <t>Thông số AQUARIS khác PEROTAC (xem cột riêng)</t>
        </is>
      </c>
    </row>
    <row r="42" ht="18" customHeight="1" s="1">
      <c r="A42" s="14" t="n">
        <v>2</v>
      </c>
      <c r="B42" s="14" t="inlineStr">
        <is>
          <t>8SP120-03</t>
        </is>
      </c>
      <c r="C42" s="14" t="n">
        <v>18.5</v>
      </c>
      <c r="D42" s="14" t="n"/>
      <c r="E42" s="14" t="n">
        <v>150</v>
      </c>
      <c r="F42" s="14" t="n">
        <v>66</v>
      </c>
      <c r="G42" s="9" t="n">
        <v>33700000</v>
      </c>
      <c r="H42" s="10" t="n">
        <v>40400000</v>
      </c>
      <c r="I42" s="19" t="n">
        <v>50500000</v>
      </c>
      <c r="J42" s="15" t="n">
        <v>13000000</v>
      </c>
      <c r="K42" s="15" t="n">
        <v>13500000</v>
      </c>
      <c r="L42" s="15" t="n">
        <v>44064000</v>
      </c>
      <c r="M42" s="46" t="n"/>
      <c r="N42" s="44" t="inlineStr">
        <is>
          <t>Không có</t>
        </is>
      </c>
      <c r="O42" s="44" t="inlineStr">
        <is>
          <t>Không có</t>
        </is>
      </c>
      <c r="P42" s="14" t="inlineStr">
        <is>
          <t>Có</t>
        </is>
      </c>
      <c r="Q42" s="14" t="n">
        <v>18.5</v>
      </c>
      <c r="R42" s="14" t="n">
        <v>150</v>
      </c>
      <c r="S42" s="14" t="n">
        <v>66</v>
      </c>
      <c r="T42" s="14" t="inlineStr">
        <is>
          <t>5</t>
        </is>
      </c>
      <c r="U42" s="14" t="inlineStr">
        <is>
          <t>AQUARIS - Bơm giếng SP.pdf, tr.27</t>
        </is>
      </c>
    </row>
    <row r="43" ht="18" customHeight="1" s="1">
      <c r="A43" s="8" t="n">
        <v>3</v>
      </c>
      <c r="B43" s="8" t="inlineStr">
        <is>
          <t>8SP77-05</t>
        </is>
      </c>
      <c r="C43" s="8" t="n">
        <v>18.5</v>
      </c>
      <c r="D43" s="8" t="n"/>
      <c r="E43" s="43" t="n">
        <v>96</v>
      </c>
      <c r="F43" s="43" t="n">
        <v>101</v>
      </c>
      <c r="G43" s="9" t="n">
        <v>33700000</v>
      </c>
      <c r="H43" s="10" t="n">
        <v>40400000</v>
      </c>
      <c r="I43" s="19" t="n">
        <v>50500000</v>
      </c>
      <c r="J43" s="12" t="n">
        <v>13000000</v>
      </c>
      <c r="K43" s="12" t="n">
        <v>13500000</v>
      </c>
      <c r="L43" s="12" t="n">
        <v>44064000</v>
      </c>
      <c r="M43" s="46" t="n"/>
      <c r="N43" s="8" t="inlineStr">
        <is>
          <t>Có</t>
        </is>
      </c>
      <c r="O43" s="8" t="inlineStr">
        <is>
          <t>Có</t>
        </is>
      </c>
      <c r="P43" s="8" t="inlineStr">
        <is>
          <t>Có</t>
        </is>
      </c>
      <c r="Q43" s="8" t="n">
        <v>18.5</v>
      </c>
      <c r="R43" s="43" t="n">
        <v>90</v>
      </c>
      <c r="S43" s="43" t="n">
        <v>99</v>
      </c>
      <c r="T43" s="8" t="inlineStr">
        <is>
          <t>5</t>
        </is>
      </c>
      <c r="U43" s="8" t="inlineStr">
        <is>
          <t>PEROTAC - Bơm giếng SP.pdf, tr.10 (hãng khác: AQUARIS, REDPUMP)</t>
        </is>
      </c>
      <c r="V43" s="8" t="inlineStr">
        <is>
          <t>Thông số AQUARIS khác PEROTAC (xem cột riêng)</t>
        </is>
      </c>
    </row>
    <row r="44" ht="18" customHeight="1" s="1">
      <c r="A44" s="14" t="n">
        <v>4</v>
      </c>
      <c r="B44" s="14" t="inlineStr">
        <is>
          <t>8SP95-04</t>
        </is>
      </c>
      <c r="C44" s="43" t="n">
        <v>22</v>
      </c>
      <c r="D44" s="14" t="n"/>
      <c r="E44" s="43" t="n">
        <v>120</v>
      </c>
      <c r="F44" s="43" t="n">
        <v>85</v>
      </c>
      <c r="G44" s="9" t="n">
        <v>33700000</v>
      </c>
      <c r="H44" s="10" t="n">
        <v>40400000</v>
      </c>
      <c r="I44" s="19" t="n">
        <v>50500000</v>
      </c>
      <c r="J44" s="15" t="n">
        <v>13000000</v>
      </c>
      <c r="K44" s="15" t="n">
        <v>13500000</v>
      </c>
      <c r="L44" s="15" t="n">
        <v>44064000</v>
      </c>
      <c r="M44" s="46" t="n"/>
      <c r="N44" s="14" t="inlineStr">
        <is>
          <t>Có</t>
        </is>
      </c>
      <c r="O44" s="14" t="inlineStr">
        <is>
          <t>Có</t>
        </is>
      </c>
      <c r="P44" s="14" t="inlineStr">
        <is>
          <t>Có</t>
        </is>
      </c>
      <c r="Q44" s="43" t="n">
        <v>18.5</v>
      </c>
      <c r="R44" s="43" t="n">
        <v>110</v>
      </c>
      <c r="S44" s="43" t="n">
        <v>82</v>
      </c>
      <c r="T44" s="14" t="inlineStr">
        <is>
          <t>5</t>
        </is>
      </c>
      <c r="U44" s="14" t="inlineStr">
        <is>
          <t>PEROTAC - Bơm giếng SP.pdf, tr.11 (hãng khác: AQUARIS, REDPUMP)</t>
        </is>
      </c>
      <c r="V44" s="14" t="inlineStr">
        <is>
          <t>Thông số AQUARIS khác PEROTAC (xem cột riêng)</t>
        </is>
      </c>
    </row>
    <row r="45" ht="18" customHeight="1" s="1">
      <c r="A45" s="8" t="n">
        <v>5</v>
      </c>
      <c r="B45" s="8" t="inlineStr">
        <is>
          <t>8SP120-04</t>
        </is>
      </c>
      <c r="C45" s="8" t="n">
        <v>22</v>
      </c>
      <c r="D45" s="8" t="n"/>
      <c r="E45" s="8" t="n">
        <v>150</v>
      </c>
      <c r="F45" s="8" t="n">
        <v>88</v>
      </c>
      <c r="G45" s="9" t="n">
        <v>38300000</v>
      </c>
      <c r="H45" s="10" t="n">
        <v>46000000</v>
      </c>
      <c r="I45" s="19" t="n">
        <v>58300000</v>
      </c>
      <c r="J45" s="12" t="n">
        <v>15000000</v>
      </c>
      <c r="K45" s="12" t="n">
        <v>15000000</v>
      </c>
      <c r="L45" s="12" t="n">
        <v>48384000</v>
      </c>
      <c r="M45" s="46" t="n"/>
      <c r="N45" s="44" t="inlineStr">
        <is>
          <t>Không có</t>
        </is>
      </c>
      <c r="O45" s="44" t="inlineStr">
        <is>
          <t>Không có</t>
        </is>
      </c>
      <c r="P45" s="8" t="inlineStr">
        <is>
          <t>Có</t>
        </is>
      </c>
      <c r="Q45" s="8" t="n">
        <v>22</v>
      </c>
      <c r="R45" s="8" t="n">
        <v>150</v>
      </c>
      <c r="S45" s="8" t="n">
        <v>88</v>
      </c>
      <c r="T45" s="8" t="inlineStr">
        <is>
          <t>5</t>
        </is>
      </c>
      <c r="U45" s="8" t="inlineStr">
        <is>
          <t>AQUARIS - Bơm giếng SP.pdf, tr.27</t>
        </is>
      </c>
    </row>
    <row r="46" ht="18" customHeight="1" s="1">
      <c r="A46" s="14" t="n">
        <v>6</v>
      </c>
      <c r="B46" s="14" t="inlineStr">
        <is>
          <t>8SP77-06</t>
        </is>
      </c>
      <c r="C46" s="14" t="n">
        <v>22</v>
      </c>
      <c r="D46" s="14" t="n"/>
      <c r="E46" s="43" t="n">
        <v>96</v>
      </c>
      <c r="F46" s="43" t="n">
        <v>121</v>
      </c>
      <c r="G46" s="9" t="n">
        <v>38300000</v>
      </c>
      <c r="H46" s="10" t="n">
        <v>46000000</v>
      </c>
      <c r="I46" s="19" t="n">
        <v>58300000</v>
      </c>
      <c r="J46" s="15" t="n">
        <v>15000000</v>
      </c>
      <c r="K46" s="15" t="n">
        <v>15000000</v>
      </c>
      <c r="L46" s="15" t="n">
        <v>48384000</v>
      </c>
      <c r="M46" s="46" t="n"/>
      <c r="N46" s="14" t="inlineStr">
        <is>
          <t>Có</t>
        </is>
      </c>
      <c r="O46" s="14" t="inlineStr">
        <is>
          <t>Có</t>
        </is>
      </c>
      <c r="P46" s="14" t="inlineStr">
        <is>
          <t>Có</t>
        </is>
      </c>
      <c r="Q46" s="14" t="n">
        <v>22</v>
      </c>
      <c r="R46" s="43" t="n">
        <v>90</v>
      </c>
      <c r="S46" s="43" t="n">
        <v>119</v>
      </c>
      <c r="T46" s="14" t="inlineStr">
        <is>
          <t>5</t>
        </is>
      </c>
      <c r="U46" s="14" t="inlineStr">
        <is>
          <t>PEROTAC - Bơm giếng SP.pdf, tr.10 (hãng khác: AQUARIS, REDPUMP)</t>
        </is>
      </c>
      <c r="V46" s="14" t="inlineStr">
        <is>
          <t>Thông số AQUARIS khác PEROTAC (xem cột riêng)</t>
        </is>
      </c>
    </row>
    <row r="47" ht="18" customHeight="1" s="1">
      <c r="A47" s="8" t="n">
        <v>7</v>
      </c>
      <c r="B47" s="8" t="inlineStr">
        <is>
          <t>8SP95-05</t>
        </is>
      </c>
      <c r="C47" s="43" t="n">
        <v>26</v>
      </c>
      <c r="D47" s="8" t="n"/>
      <c r="E47" s="43" t="n">
        <v>120</v>
      </c>
      <c r="F47" s="43" t="n">
        <v>106</v>
      </c>
      <c r="G47" s="9" t="n">
        <v>38300000</v>
      </c>
      <c r="H47" s="10" t="n">
        <v>46000000</v>
      </c>
      <c r="I47" s="19" t="n">
        <v>58300000</v>
      </c>
      <c r="J47" s="12" t="n">
        <v>15000000</v>
      </c>
      <c r="K47" s="12" t="n">
        <v>15000000</v>
      </c>
      <c r="L47" s="12" t="n">
        <v>48384000</v>
      </c>
      <c r="M47" s="46" t="n"/>
      <c r="N47" s="8" t="inlineStr">
        <is>
          <t>Có</t>
        </is>
      </c>
      <c r="O47" s="8" t="inlineStr">
        <is>
          <t>Có</t>
        </is>
      </c>
      <c r="P47" s="8" t="inlineStr">
        <is>
          <t>Có</t>
        </is>
      </c>
      <c r="Q47" s="43" t="n">
        <v>22</v>
      </c>
      <c r="R47" s="43" t="n">
        <v>110</v>
      </c>
      <c r="S47" s="43" t="n">
        <v>102</v>
      </c>
      <c r="T47" s="8" t="inlineStr">
        <is>
          <t>5</t>
        </is>
      </c>
      <c r="U47" s="8" t="inlineStr">
        <is>
          <t>PEROTAC - Bơm giếng SP.pdf, tr.11 (hãng khác: AQUARIS, REDPUMP)</t>
        </is>
      </c>
      <c r="V47" s="8" t="inlineStr">
        <is>
          <t>Thông số AQUARIS khác PEROTAC (xem cột riêng)</t>
        </is>
      </c>
    </row>
    <row r="48" ht="18" customHeight="1" s="1">
      <c r="A48" s="14" t="n">
        <v>8</v>
      </c>
      <c r="B48" s="14" t="inlineStr">
        <is>
          <t>8SP120-05</t>
        </is>
      </c>
      <c r="C48" s="14" t="n">
        <v>30</v>
      </c>
      <c r="D48" s="14" t="n"/>
      <c r="E48" s="14" t="n">
        <v>150</v>
      </c>
      <c r="F48" s="14" t="n">
        <v>110</v>
      </c>
      <c r="G48" s="9" t="n">
        <v>52100000</v>
      </c>
      <c r="H48" s="10" t="n">
        <v>62500000</v>
      </c>
      <c r="I48" s="19" t="n">
        <v>78800000</v>
      </c>
      <c r="J48" s="15" t="n">
        <v>19000000</v>
      </c>
      <c r="K48" s="15" t="n">
        <v>22500000</v>
      </c>
      <c r="L48" s="15" t="n">
        <v>57096000</v>
      </c>
      <c r="M48" s="46" t="n"/>
      <c r="N48" s="44" t="inlineStr">
        <is>
          <t>Không có</t>
        </is>
      </c>
      <c r="O48" s="44" t="inlineStr">
        <is>
          <t>Không có</t>
        </is>
      </c>
      <c r="P48" s="14" t="inlineStr">
        <is>
          <t>Có</t>
        </is>
      </c>
      <c r="Q48" s="14" t="n">
        <v>30</v>
      </c>
      <c r="R48" s="14" t="n">
        <v>150</v>
      </c>
      <c r="S48" s="14" t="n">
        <v>110</v>
      </c>
      <c r="T48" s="14" t="inlineStr">
        <is>
          <t>5</t>
        </is>
      </c>
      <c r="U48" s="14" t="inlineStr">
        <is>
          <t>AQUARIS - Bơm giếng SP.pdf, tr.27</t>
        </is>
      </c>
    </row>
    <row r="49" ht="18" customHeight="1" s="1">
      <c r="A49" s="8" t="n">
        <v>9</v>
      </c>
      <c r="B49" s="8" t="inlineStr">
        <is>
          <t>8SP77-08</t>
        </is>
      </c>
      <c r="C49" s="8" t="n">
        <v>30</v>
      </c>
      <c r="D49" s="8" t="n"/>
      <c r="E49" s="43" t="n">
        <v>96</v>
      </c>
      <c r="F49" s="43" t="n">
        <v>161</v>
      </c>
      <c r="G49" s="9" t="n">
        <v>52100000</v>
      </c>
      <c r="H49" s="10" t="n">
        <v>62500000</v>
      </c>
      <c r="I49" s="19" t="n">
        <v>78800000</v>
      </c>
      <c r="J49" s="12" t="n">
        <v>19000000</v>
      </c>
      <c r="K49" s="12" t="n">
        <v>22500000</v>
      </c>
      <c r="L49" s="12" t="n">
        <v>57096000</v>
      </c>
      <c r="M49" s="46" t="n"/>
      <c r="N49" s="8" t="inlineStr">
        <is>
          <t>Có</t>
        </is>
      </c>
      <c r="O49" s="8" t="inlineStr">
        <is>
          <t>Có</t>
        </is>
      </c>
      <c r="P49" s="8" t="inlineStr">
        <is>
          <t>Có</t>
        </is>
      </c>
      <c r="Q49" s="8" t="n">
        <v>30</v>
      </c>
      <c r="R49" s="43" t="n">
        <v>90</v>
      </c>
      <c r="S49" s="43" t="n">
        <v>159</v>
      </c>
      <c r="T49" s="8" t="inlineStr">
        <is>
          <t>5</t>
        </is>
      </c>
      <c r="U49" s="8" t="inlineStr">
        <is>
          <t>PEROTAC - Bơm giếng SP.pdf, tr.10 (hãng khác: AQUARIS, REDPUMP)</t>
        </is>
      </c>
      <c r="V49" s="8" t="inlineStr">
        <is>
          <t>Thông số AQUARIS khác PEROTAC (xem cột riêng)</t>
        </is>
      </c>
    </row>
    <row r="50" ht="18" customHeight="1" s="1">
      <c r="A50" s="14" t="n">
        <v>10</v>
      </c>
      <c r="B50" s="14" t="inlineStr">
        <is>
          <t>8SP120-06</t>
        </is>
      </c>
      <c r="C50" s="14" t="n">
        <v>37</v>
      </c>
      <c r="D50" s="14" t="n"/>
      <c r="E50" s="14" t="n">
        <v>150</v>
      </c>
      <c r="F50" s="14" t="n">
        <v>132</v>
      </c>
      <c r="G50" s="9" t="n">
        <v>68100000</v>
      </c>
      <c r="H50" s="10" t="n">
        <v>81700000</v>
      </c>
      <c r="I50" s="19" t="n">
        <v>95500000</v>
      </c>
      <c r="J50" s="14" t="n"/>
      <c r="K50" s="14" t="n"/>
      <c r="L50" s="14" t="n"/>
      <c r="M50" s="46" t="n"/>
      <c r="N50" s="44" t="inlineStr">
        <is>
          <t>Không có</t>
        </is>
      </c>
      <c r="O50" s="44" t="inlineStr">
        <is>
          <t>Không có</t>
        </is>
      </c>
      <c r="P50" s="14" t="inlineStr">
        <is>
          <t>Có</t>
        </is>
      </c>
      <c r="Q50" s="14" t="n">
        <v>37</v>
      </c>
      <c r="R50" s="14" t="n">
        <v>150</v>
      </c>
      <c r="S50" s="14" t="n">
        <v>132</v>
      </c>
      <c r="T50" s="14" t="inlineStr">
        <is>
          <t>5</t>
        </is>
      </c>
      <c r="U50" s="14" t="inlineStr">
        <is>
          <t>AQUARIS - Bơm giếng SP.pdf, tr.27</t>
        </is>
      </c>
    </row>
    <row r="51" ht="18" customHeight="1" s="1">
      <c r="A51" s="8" t="n">
        <v>11</v>
      </c>
      <c r="B51" s="8" t="inlineStr">
        <is>
          <t>8SP77-10</t>
        </is>
      </c>
      <c r="C51" s="8" t="n">
        <v>37</v>
      </c>
      <c r="D51" s="8" t="n"/>
      <c r="E51" s="43" t="n">
        <v>96</v>
      </c>
      <c r="F51" s="43" t="n">
        <v>201</v>
      </c>
      <c r="G51" s="9" t="n">
        <v>68100000</v>
      </c>
      <c r="H51" s="10" t="n">
        <v>81700000</v>
      </c>
      <c r="I51" s="19" t="n">
        <v>95500000</v>
      </c>
      <c r="J51" s="8" t="n"/>
      <c r="K51" s="8" t="n"/>
      <c r="L51" s="8" t="n"/>
      <c r="M51" s="46" t="n"/>
      <c r="N51" s="8" t="inlineStr">
        <is>
          <t>Có</t>
        </is>
      </c>
      <c r="O51" s="8" t="inlineStr">
        <is>
          <t>Có</t>
        </is>
      </c>
      <c r="P51" s="8" t="inlineStr">
        <is>
          <t>Có</t>
        </is>
      </c>
      <c r="Q51" s="8" t="n">
        <v>37</v>
      </c>
      <c r="R51" s="43" t="n">
        <v>90</v>
      </c>
      <c r="S51" s="43" t="n">
        <v>198</v>
      </c>
      <c r="T51" s="8" t="inlineStr">
        <is>
          <t>5</t>
        </is>
      </c>
      <c r="U51" s="8" t="inlineStr">
        <is>
          <t>PEROTAC - Bơm giếng SP.pdf, tr.10 (hãng khác: AQUARIS, REDPUMP)</t>
        </is>
      </c>
      <c r="V51" s="8" t="inlineStr">
        <is>
          <t>Thông số AQUARIS khác PEROTAC (xem cột riêng)</t>
        </is>
      </c>
    </row>
    <row r="52" ht="18" customHeight="1" s="1">
      <c r="A52" s="14" t="n">
        <v>12</v>
      </c>
      <c r="B52" s="14" t="inlineStr">
        <is>
          <t>8SP95-08</t>
        </is>
      </c>
      <c r="C52" s="43" t="n">
        <v>45</v>
      </c>
      <c r="D52" s="14" t="n"/>
      <c r="E52" s="43" t="n">
        <v>120</v>
      </c>
      <c r="F52" s="43" t="n">
        <v>170</v>
      </c>
      <c r="G52" s="9" t="n">
        <v>68100000</v>
      </c>
      <c r="H52" s="10" t="n">
        <v>81700000</v>
      </c>
      <c r="I52" s="19" t="n">
        <v>95500000</v>
      </c>
      <c r="J52" s="14" t="n"/>
      <c r="K52" s="14" t="n"/>
      <c r="L52" s="14" t="n"/>
      <c r="M52" s="46" t="n"/>
      <c r="N52" s="14" t="inlineStr">
        <is>
          <t>Có</t>
        </is>
      </c>
      <c r="O52" s="14" t="inlineStr">
        <is>
          <t>Có</t>
        </is>
      </c>
      <c r="P52" s="14" t="inlineStr">
        <is>
          <t>Có</t>
        </is>
      </c>
      <c r="Q52" s="43" t="n">
        <v>37</v>
      </c>
      <c r="R52" s="43" t="n">
        <v>110</v>
      </c>
      <c r="S52" s="43" t="n">
        <v>163</v>
      </c>
      <c r="T52" s="14" t="inlineStr">
        <is>
          <t>5</t>
        </is>
      </c>
      <c r="U52" s="14" t="inlineStr">
        <is>
          <t>PEROTAC - Bơm giếng SP.pdf, tr.11 (hãng khác: AQUARIS, REDPUMP)</t>
        </is>
      </c>
      <c r="V52" s="14" t="inlineStr">
        <is>
          <t>Thông số AQUARIS khác PEROTAC (xem cột riêng)</t>
        </is>
      </c>
    </row>
    <row r="53" ht="18" customHeight="1" s="1">
      <c r="A53" s="8" t="n">
        <v>13</v>
      </c>
      <c r="B53" s="8" t="inlineStr">
        <is>
          <t>8SP120-07</t>
        </is>
      </c>
      <c r="C53" s="8" t="n">
        <v>45</v>
      </c>
      <c r="D53" s="8" t="n"/>
      <c r="E53" s="8" t="n">
        <v>150</v>
      </c>
      <c r="F53" s="8" t="n">
        <v>154</v>
      </c>
      <c r="G53" s="8" t="n"/>
      <c r="H53" s="8" t="n"/>
      <c r="I53" s="8" t="n"/>
      <c r="J53" s="8" t="n"/>
      <c r="K53" s="8" t="n"/>
      <c r="L53" s="8" t="n"/>
      <c r="M53" s="46" t="n"/>
      <c r="N53" s="44" t="inlineStr">
        <is>
          <t>Không có</t>
        </is>
      </c>
      <c r="O53" s="44" t="inlineStr">
        <is>
          <t>Không có</t>
        </is>
      </c>
      <c r="P53" s="8" t="inlineStr">
        <is>
          <t>Có</t>
        </is>
      </c>
      <c r="Q53" s="8" t="n">
        <v>45</v>
      </c>
      <c r="R53" s="8" t="n">
        <v>150</v>
      </c>
      <c r="S53" s="8" t="n">
        <v>154</v>
      </c>
      <c r="T53" s="8" t="inlineStr">
        <is>
          <t>5</t>
        </is>
      </c>
      <c r="U53" s="8" t="inlineStr">
        <is>
          <t>AQUARIS - Bơm giếng SP.pdf, tr.27</t>
        </is>
      </c>
    </row>
    <row r="54" ht="18" customHeight="1" s="1">
      <c r="A54" s="14" t="n">
        <v>14</v>
      </c>
      <c r="B54" s="14" t="inlineStr">
        <is>
          <t>8SP77-12</t>
        </is>
      </c>
      <c r="C54" s="14" t="n">
        <v>45</v>
      </c>
      <c r="D54" s="14" t="n"/>
      <c r="E54" s="43" t="n">
        <v>96</v>
      </c>
      <c r="F54" s="43" t="n">
        <v>241</v>
      </c>
      <c r="G54" s="14" t="n"/>
      <c r="H54" s="14" t="n"/>
      <c r="I54" s="14" t="n"/>
      <c r="J54" s="14" t="n"/>
      <c r="K54" s="14" t="n"/>
      <c r="L54" s="14" t="n"/>
      <c r="M54" s="46" t="n"/>
      <c r="N54" s="14" t="inlineStr">
        <is>
          <t>Có</t>
        </is>
      </c>
      <c r="O54" s="14" t="inlineStr">
        <is>
          <t>Có</t>
        </is>
      </c>
      <c r="P54" s="14" t="inlineStr">
        <is>
          <t>Có</t>
        </is>
      </c>
      <c r="Q54" s="14" t="n">
        <v>45</v>
      </c>
      <c r="R54" s="43" t="n">
        <v>90</v>
      </c>
      <c r="S54" s="43" t="n">
        <v>238</v>
      </c>
      <c r="T54" s="14" t="inlineStr">
        <is>
          <t>5</t>
        </is>
      </c>
      <c r="U54" s="14" t="inlineStr">
        <is>
          <t>PEROTAC - Bơm giếng SP.pdf, tr.10 (hãng khác: AQUARIS, REDPUMP)</t>
        </is>
      </c>
      <c r="V54" s="14" t="inlineStr">
        <is>
          <t>Thông số AQUARIS khác PEROTAC (xem cột riêng)</t>
        </is>
      </c>
    </row>
    <row r="55" ht="18" customHeight="1" s="1">
      <c r="A55" s="8" t="n">
        <v>15</v>
      </c>
      <c r="B55" s="8" t="inlineStr">
        <is>
          <t>8SP95-10</t>
        </is>
      </c>
      <c r="C55" s="43" t="n">
        <v>55</v>
      </c>
      <c r="D55" s="8" t="n"/>
      <c r="E55" s="43" t="n">
        <v>120</v>
      </c>
      <c r="F55" s="43" t="n">
        <v>213</v>
      </c>
      <c r="G55" s="8" t="n"/>
      <c r="H55" s="8" t="n"/>
      <c r="I55" s="8" t="n"/>
      <c r="J55" s="8" t="n"/>
      <c r="K55" s="8" t="n"/>
      <c r="L55" s="8" t="n"/>
      <c r="M55" s="46" t="n"/>
      <c r="N55" s="8" t="inlineStr">
        <is>
          <t>Có</t>
        </is>
      </c>
      <c r="O55" s="8" t="inlineStr">
        <is>
          <t>Có</t>
        </is>
      </c>
      <c r="P55" s="8" t="inlineStr">
        <is>
          <t>Có</t>
        </is>
      </c>
      <c r="Q55" s="43" t="n">
        <v>45</v>
      </c>
      <c r="R55" s="43" t="n">
        <v>110</v>
      </c>
      <c r="S55" s="43" t="n">
        <v>204</v>
      </c>
      <c r="T55" s="8" t="inlineStr">
        <is>
          <t>5</t>
        </is>
      </c>
      <c r="U55" s="8" t="inlineStr">
        <is>
          <t>PEROTAC - Bơm giếng SP.pdf, tr.11 (hãng khác: AQUARIS, REDPUMP)</t>
        </is>
      </c>
      <c r="V55" s="8" t="inlineStr">
        <is>
          <t>Thông số AQUARIS khác PEROTAC (xem cột riêng)</t>
        </is>
      </c>
    </row>
    <row r="56" ht="18" customHeight="1" s="1">
      <c r="A56" s="14" t="n">
        <v>16</v>
      </c>
      <c r="B56" s="14" t="inlineStr">
        <is>
          <t>8SP120-08</t>
        </is>
      </c>
      <c r="C56" s="14" t="n">
        <v>55</v>
      </c>
      <c r="D56" s="14" t="n"/>
      <c r="E56" s="14" t="n">
        <v>150</v>
      </c>
      <c r="F56" s="14" t="n">
        <v>176</v>
      </c>
      <c r="G56" s="14" t="n"/>
      <c r="H56" s="14" t="n"/>
      <c r="I56" s="14" t="n"/>
      <c r="J56" s="14" t="n"/>
      <c r="K56" s="14" t="n"/>
      <c r="L56" s="14" t="n"/>
      <c r="M56" s="46" t="n"/>
      <c r="N56" s="44" t="inlineStr">
        <is>
          <t>Không có</t>
        </is>
      </c>
      <c r="O56" s="44" t="inlineStr">
        <is>
          <t>Không có</t>
        </is>
      </c>
      <c r="P56" s="14" t="inlineStr">
        <is>
          <t>Có</t>
        </is>
      </c>
      <c r="Q56" s="14" t="n">
        <v>55</v>
      </c>
      <c r="R56" s="14" t="n">
        <v>150</v>
      </c>
      <c r="S56" s="14" t="n">
        <v>176</v>
      </c>
      <c r="T56" s="14" t="inlineStr">
        <is>
          <t>5</t>
        </is>
      </c>
      <c r="U56" s="14" t="inlineStr">
        <is>
          <t>AQUARIS - Bơm giếng SP.pdf, tr.27</t>
        </is>
      </c>
    </row>
    <row r="57" ht="18" customHeight="1" s="1">
      <c r="A57" s="8" t="n">
        <v>17</v>
      </c>
      <c r="B57" s="8" t="inlineStr">
        <is>
          <t>8SP120-09</t>
        </is>
      </c>
      <c r="C57" s="8" t="n">
        <v>55</v>
      </c>
      <c r="D57" s="8" t="n"/>
      <c r="E57" s="8" t="n">
        <v>150</v>
      </c>
      <c r="F57" s="8" t="n">
        <v>198</v>
      </c>
      <c r="G57" s="8" t="n"/>
      <c r="H57" s="8" t="n"/>
      <c r="I57" s="8" t="n"/>
      <c r="J57" s="8" t="n"/>
      <c r="K57" s="8" t="n"/>
      <c r="L57" s="8" t="n"/>
      <c r="M57" s="46" t="n"/>
      <c r="N57" s="44" t="inlineStr">
        <is>
          <t>Không có</t>
        </is>
      </c>
      <c r="O57" s="44" t="inlineStr">
        <is>
          <t>Không có</t>
        </is>
      </c>
      <c r="P57" s="8" t="inlineStr">
        <is>
          <t>Có</t>
        </is>
      </c>
      <c r="Q57" s="8" t="n">
        <v>55</v>
      </c>
      <c r="R57" s="8" t="n">
        <v>150</v>
      </c>
      <c r="S57" s="8" t="n">
        <v>198</v>
      </c>
      <c r="T57" s="8" t="inlineStr">
        <is>
          <t>5</t>
        </is>
      </c>
      <c r="U57" s="8" t="inlineStr">
        <is>
          <t>AQUARIS - Bơm giếng SP.pdf, tr.27</t>
        </is>
      </c>
    </row>
    <row r="58" ht="18" customHeight="1" s="1">
      <c r="A58" s="14" t="n">
        <v>18</v>
      </c>
      <c r="B58" s="14" t="inlineStr">
        <is>
          <t>8SP77-15</t>
        </is>
      </c>
      <c r="C58" s="14" t="n">
        <v>55</v>
      </c>
      <c r="D58" s="14" t="n"/>
      <c r="E58" s="14" t="n">
        <v>90</v>
      </c>
      <c r="F58" s="14" t="n">
        <v>297</v>
      </c>
      <c r="G58" s="14" t="n"/>
      <c r="H58" s="14" t="n"/>
      <c r="I58" s="14" t="n"/>
      <c r="J58" s="14" t="n"/>
      <c r="K58" s="14" t="n"/>
      <c r="L58" s="14" t="n"/>
      <c r="M58" s="46" t="n"/>
      <c r="N58" s="44" t="inlineStr">
        <is>
          <t>Không có</t>
        </is>
      </c>
      <c r="O58" s="44" t="inlineStr">
        <is>
          <t>Không có</t>
        </is>
      </c>
      <c r="P58" s="14" t="inlineStr">
        <is>
          <t>Có</t>
        </is>
      </c>
      <c r="Q58" s="14" t="n">
        <v>55</v>
      </c>
      <c r="R58" s="14" t="n">
        <v>90</v>
      </c>
      <c r="S58" s="14" t="n">
        <v>297</v>
      </c>
      <c r="T58" s="14" t="inlineStr">
        <is>
          <t>5</t>
        </is>
      </c>
      <c r="U58" s="14" t="inlineStr">
        <is>
          <t>AQUARIS - Bơm giếng SP.pdf, tr.23</t>
        </is>
      </c>
    </row>
    <row r="59" ht="18" customHeight="1" s="1">
      <c r="A59" s="8" t="n">
        <v>19</v>
      </c>
      <c r="B59" s="8" t="inlineStr">
        <is>
          <t>8SP95-11</t>
        </is>
      </c>
      <c r="C59" s="8" t="n">
        <v>55</v>
      </c>
      <c r="D59" s="8" t="n"/>
      <c r="E59" s="8" t="n">
        <v>110</v>
      </c>
      <c r="F59" s="8" t="n">
        <v>225</v>
      </c>
      <c r="G59" s="8" t="n"/>
      <c r="H59" s="8" t="n"/>
      <c r="I59" s="8" t="n"/>
      <c r="J59" s="8" t="n"/>
      <c r="K59" s="8" t="n"/>
      <c r="L59" s="8" t="n"/>
      <c r="M59" s="46" t="n"/>
      <c r="N59" s="44" t="inlineStr">
        <is>
          <t>Không có</t>
        </is>
      </c>
      <c r="O59" s="44" t="inlineStr">
        <is>
          <t>Không có</t>
        </is>
      </c>
      <c r="P59" s="8" t="inlineStr">
        <is>
          <t>Có</t>
        </is>
      </c>
      <c r="Q59" s="8" t="n">
        <v>55</v>
      </c>
      <c r="R59" s="8" t="n">
        <v>110</v>
      </c>
      <c r="S59" s="8" t="n">
        <v>225</v>
      </c>
      <c r="T59" s="8" t="inlineStr">
        <is>
          <t>5</t>
        </is>
      </c>
      <c r="U59" s="8" t="inlineStr">
        <is>
          <t>AQUARIS - Bơm giếng SP.pdf, tr.25</t>
        </is>
      </c>
    </row>
    <row r="60" ht="18" customHeight="1" s="1">
      <c r="A60" s="14" t="n">
        <v>20</v>
      </c>
      <c r="B60" s="14" t="inlineStr">
        <is>
          <t>8SP95-12</t>
        </is>
      </c>
      <c r="C60" s="43" t="n">
        <v>63</v>
      </c>
      <c r="D60" s="14" t="n"/>
      <c r="E60" s="43" t="n">
        <v>120</v>
      </c>
      <c r="F60" s="43" t="n">
        <v>255</v>
      </c>
      <c r="G60" s="14" t="n"/>
      <c r="H60" s="14" t="n"/>
      <c r="I60" s="14" t="n"/>
      <c r="J60" s="14" t="n"/>
      <c r="K60" s="14" t="n"/>
      <c r="L60" s="14" t="n"/>
      <c r="M60" s="46" t="n"/>
      <c r="N60" s="14" t="inlineStr">
        <is>
          <t>Có</t>
        </is>
      </c>
      <c r="O60" s="14" t="inlineStr">
        <is>
          <t>Có</t>
        </is>
      </c>
      <c r="P60" s="14" t="inlineStr">
        <is>
          <t>Có</t>
        </is>
      </c>
      <c r="Q60" s="43" t="n">
        <v>55</v>
      </c>
      <c r="R60" s="43" t="n">
        <v>110</v>
      </c>
      <c r="S60" s="43" t="n">
        <v>246</v>
      </c>
      <c r="T60" s="14" t="inlineStr">
        <is>
          <t>5</t>
        </is>
      </c>
      <c r="U60" s="14" t="inlineStr">
        <is>
          <t>PEROTAC - Bơm giếng SP.pdf, tr.11 (hãng khác: AQUARIS, REDPUMP)</t>
        </is>
      </c>
      <c r="V60" s="14" t="inlineStr">
        <is>
          <t>Thông số AQUARIS khác PEROTAC (xem cột riêng)</t>
        </is>
      </c>
    </row>
    <row r="61" ht="18" customHeight="1" s="1">
      <c r="A61" s="8" t="n">
        <v>21</v>
      </c>
      <c r="B61" s="8" t="inlineStr">
        <is>
          <t>8SP120-10</t>
        </is>
      </c>
      <c r="C61" s="8" t="n">
        <v>63</v>
      </c>
      <c r="D61" s="8" t="n"/>
      <c r="E61" s="8" t="n">
        <v>150</v>
      </c>
      <c r="F61" s="8" t="n">
        <v>220</v>
      </c>
      <c r="G61" s="8" t="n"/>
      <c r="H61" s="8" t="n"/>
      <c r="I61" s="8" t="n"/>
      <c r="J61" s="8" t="n"/>
      <c r="K61" s="8" t="n"/>
      <c r="L61" s="8" t="n"/>
      <c r="M61" s="46" t="n"/>
      <c r="N61" s="44" t="inlineStr">
        <is>
          <t>Không có</t>
        </is>
      </c>
      <c r="O61" s="44" t="inlineStr">
        <is>
          <t>Không có</t>
        </is>
      </c>
      <c r="P61" s="8" t="inlineStr">
        <is>
          <t>Có</t>
        </is>
      </c>
      <c r="Q61" s="8" t="n">
        <v>63</v>
      </c>
      <c r="R61" s="8" t="n">
        <v>150</v>
      </c>
      <c r="S61" s="8" t="n">
        <v>220</v>
      </c>
      <c r="T61" s="8" t="inlineStr">
        <is>
          <t>5</t>
        </is>
      </c>
      <c r="U61" s="8" t="inlineStr">
        <is>
          <t>AQUARIS - Bơm giếng SP.pdf, tr.27</t>
        </is>
      </c>
    </row>
    <row r="62" ht="18" customHeight="1" s="1">
      <c r="A62" s="14" t="n">
        <v>22</v>
      </c>
      <c r="B62" s="14" t="inlineStr">
        <is>
          <t>8SP77-17</t>
        </is>
      </c>
      <c r="C62" s="14" t="n">
        <v>63</v>
      </c>
      <c r="D62" s="14" t="n"/>
      <c r="E62" s="14" t="n">
        <v>90</v>
      </c>
      <c r="F62" s="14" t="n">
        <v>337</v>
      </c>
      <c r="G62" s="14" t="n"/>
      <c r="H62" s="14" t="n"/>
      <c r="I62" s="14" t="n"/>
      <c r="J62" s="14" t="n"/>
      <c r="K62" s="14" t="n"/>
      <c r="L62" s="14" t="n"/>
      <c r="M62" s="46" t="n"/>
      <c r="N62" s="44" t="inlineStr">
        <is>
          <t>Không có</t>
        </is>
      </c>
      <c r="O62" s="44" t="inlineStr">
        <is>
          <t>Không có</t>
        </is>
      </c>
      <c r="P62" s="14" t="inlineStr">
        <is>
          <t>Có</t>
        </is>
      </c>
      <c r="Q62" s="14" t="n">
        <v>63</v>
      </c>
      <c r="R62" s="14" t="n">
        <v>90</v>
      </c>
      <c r="S62" s="14" t="n">
        <v>337</v>
      </c>
      <c r="T62" s="14" t="inlineStr">
        <is>
          <t>5</t>
        </is>
      </c>
      <c r="U62" s="14" t="inlineStr">
        <is>
          <t>AQUARIS - Bơm giếng SP.pdf, tr.23</t>
        </is>
      </c>
    </row>
    <row r="63" ht="18" customHeight="1" s="1">
      <c r="A63" s="8" t="n">
        <v>23</v>
      </c>
      <c r="B63" s="8" t="inlineStr">
        <is>
          <t>8SP95-14</t>
        </is>
      </c>
      <c r="C63" s="43" t="n">
        <v>75</v>
      </c>
      <c r="D63" s="8" t="n"/>
      <c r="E63" s="43" t="n">
        <v>120</v>
      </c>
      <c r="F63" s="43" t="n">
        <v>298</v>
      </c>
      <c r="G63" s="8" t="n"/>
      <c r="H63" s="8" t="n"/>
      <c r="I63" s="8" t="n"/>
      <c r="J63" s="8" t="n"/>
      <c r="K63" s="8" t="n"/>
      <c r="L63" s="8" t="n"/>
      <c r="M63" s="46" t="n"/>
      <c r="N63" s="8" t="inlineStr">
        <is>
          <t>Có</t>
        </is>
      </c>
      <c r="O63" s="8" t="inlineStr">
        <is>
          <t>Có</t>
        </is>
      </c>
      <c r="P63" s="8" t="inlineStr">
        <is>
          <t>Có</t>
        </is>
      </c>
      <c r="Q63" s="43" t="n">
        <v>63</v>
      </c>
      <c r="R63" s="43" t="n">
        <v>110</v>
      </c>
      <c r="S63" s="43" t="n">
        <v>285</v>
      </c>
      <c r="T63" s="8" t="inlineStr">
        <is>
          <t>5</t>
        </is>
      </c>
      <c r="U63" s="8" t="inlineStr">
        <is>
          <t>PEROTAC - Bơm giếng SP.pdf, tr.11 (hãng khác: AQUARIS, REDPUMP)</t>
        </is>
      </c>
      <c r="V63" s="8" t="inlineStr">
        <is>
          <t>Thông số AQUARIS khác PEROTAC (xem cột riêng)</t>
        </is>
      </c>
    </row>
    <row r="64" ht="18" customHeight="1" s="1">
      <c r="A64" s="14" t="n">
        <v>24</v>
      </c>
      <c r="B64" s="14" t="inlineStr">
        <is>
          <t>8SP77-20</t>
        </is>
      </c>
      <c r="C64" s="14" t="n">
        <v>75</v>
      </c>
      <c r="D64" s="14" t="n"/>
      <c r="E64" s="43" t="n">
        <v>96</v>
      </c>
      <c r="F64" s="43" t="n">
        <v>402</v>
      </c>
      <c r="G64" s="14" t="n"/>
      <c r="H64" s="14" t="n"/>
      <c r="I64" s="14" t="n"/>
      <c r="J64" s="14" t="n"/>
      <c r="K64" s="14" t="n"/>
      <c r="L64" s="14" t="n"/>
      <c r="M64" s="46" t="n"/>
      <c r="N64" s="14" t="inlineStr">
        <is>
          <t>Có</t>
        </is>
      </c>
      <c r="O64" s="14" t="inlineStr">
        <is>
          <t>Có</t>
        </is>
      </c>
      <c r="P64" s="14" t="inlineStr">
        <is>
          <t>Có</t>
        </is>
      </c>
      <c r="Q64" s="14" t="n">
        <v>75</v>
      </c>
      <c r="R64" s="43" t="n">
        <v>90</v>
      </c>
      <c r="S64" s="43" t="n">
        <v>397</v>
      </c>
      <c r="T64" s="14" t="inlineStr">
        <is>
          <t>5</t>
        </is>
      </c>
      <c r="U64" s="14" t="inlineStr">
        <is>
          <t>PEROTAC - Bơm giếng SP.pdf, tr.10 (hãng khác: AQUARIS, REDPUMP)</t>
        </is>
      </c>
      <c r="V64" s="14" t="inlineStr">
        <is>
          <t>Thông số AQUARIS khác PEROTAC (xem cột riêng)</t>
        </is>
      </c>
    </row>
    <row r="65" ht="18" customHeight="1" s="1">
      <c r="A65" s="8" t="n">
        <v>25</v>
      </c>
      <c r="B65" s="8" t="inlineStr">
        <is>
          <t>8SP95-16</t>
        </is>
      </c>
      <c r="C65" s="43" t="n">
        <v>92</v>
      </c>
      <c r="D65" s="8" t="n"/>
      <c r="E65" s="43" t="n">
        <v>120</v>
      </c>
      <c r="F65" s="43" t="n">
        <v>340</v>
      </c>
      <c r="G65" s="8" t="n"/>
      <c r="H65" s="8" t="n"/>
      <c r="I65" s="8" t="n"/>
      <c r="J65" s="8" t="n"/>
      <c r="K65" s="8" t="n"/>
      <c r="L65" s="8" t="n"/>
      <c r="M65" s="46" t="n"/>
      <c r="N65" s="8" t="inlineStr">
        <is>
          <t>Có</t>
        </is>
      </c>
      <c r="O65" s="8" t="inlineStr">
        <is>
          <t>Có</t>
        </is>
      </c>
      <c r="P65" s="8" t="inlineStr">
        <is>
          <t>Có</t>
        </is>
      </c>
      <c r="Q65" s="43" t="n">
        <v>75</v>
      </c>
      <c r="R65" s="43" t="n">
        <v>110</v>
      </c>
      <c r="S65" s="43" t="n">
        <v>326</v>
      </c>
      <c r="T65" s="8" t="inlineStr">
        <is>
          <t>5</t>
        </is>
      </c>
      <c r="U65" s="8" t="inlineStr">
        <is>
          <t>PEROTAC - Bơm giếng SP.pdf, tr.11 (hãng khác: AQUARIS, REDPUMP)</t>
        </is>
      </c>
      <c r="V65" s="8" t="inlineStr">
        <is>
          <t>Thông số AQUARIS khác PEROTAC (xem cột riêng)</t>
        </is>
      </c>
    </row>
    <row r="66" ht="18" customHeight="1" s="1">
      <c r="A66" s="14" t="n">
        <v>26</v>
      </c>
      <c r="B66" s="14" t="inlineStr">
        <is>
          <t>8SP95-20</t>
        </is>
      </c>
      <c r="C66" s="14" t="n">
        <v>93</v>
      </c>
      <c r="D66" s="14" t="n"/>
      <c r="E66" s="14" t="n">
        <v>110</v>
      </c>
      <c r="F66" s="14" t="n">
        <v>408</v>
      </c>
      <c r="G66" s="14" t="n"/>
      <c r="H66" s="14" t="n"/>
      <c r="I66" s="14" t="n"/>
      <c r="J66" s="14" t="n"/>
      <c r="K66" s="14" t="n"/>
      <c r="L66" s="14" t="n"/>
      <c r="M66" s="45" t="n"/>
      <c r="N66" s="44" t="inlineStr">
        <is>
          <t>Không có</t>
        </is>
      </c>
      <c r="O66" s="44" t="inlineStr">
        <is>
          <t>Không có</t>
        </is>
      </c>
      <c r="P66" s="14" t="inlineStr">
        <is>
          <t>Có</t>
        </is>
      </c>
      <c r="Q66" s="14" t="n">
        <v>93</v>
      </c>
      <c r="R66" s="14" t="n">
        <v>110</v>
      </c>
      <c r="S66" s="14" t="n">
        <v>408</v>
      </c>
      <c r="T66" s="14" t="inlineStr">
        <is>
          <t>5</t>
        </is>
      </c>
      <c r="U66" s="14" t="inlineStr">
        <is>
          <t>AQUARIS - Bơm giếng SP.pdf, tr.25</t>
        </is>
      </c>
    </row>
    <row r="67" ht="18" customHeight="1" s="1">
      <c r="A67" s="14" t="n">
        <v>2</v>
      </c>
      <c r="B67" s="14" t="inlineStr">
        <is>
          <t>10SP125-03</t>
        </is>
      </c>
      <c r="C67" s="14" t="n">
        <v>30</v>
      </c>
      <c r="D67" s="14" t="n"/>
      <c r="E67" s="14" t="n">
        <v>160</v>
      </c>
      <c r="F67" s="14" t="n">
        <v>87</v>
      </c>
      <c r="G67" s="9" t="n">
        <v>52100000</v>
      </c>
      <c r="H67" s="10" t="n">
        <v>62500000</v>
      </c>
      <c r="I67" s="19" t="n">
        <v>78800000</v>
      </c>
      <c r="J67" s="14" t="n"/>
      <c r="K67" s="14" t="n"/>
      <c r="L67" s="14" t="n"/>
      <c r="M67" s="39" t="n"/>
      <c r="N67" s="44" t="inlineStr">
        <is>
          <t>Không có</t>
        </is>
      </c>
      <c r="O67" s="44" t="inlineStr">
        <is>
          <t>Không có</t>
        </is>
      </c>
      <c r="P67" s="14" t="inlineStr">
        <is>
          <t>Có</t>
        </is>
      </c>
      <c r="Q67" s="14" t="n">
        <v>30</v>
      </c>
      <c r="R67" s="14" t="n">
        <v>160</v>
      </c>
      <c r="S67" s="14" t="n">
        <v>87</v>
      </c>
      <c r="T67" s="14" t="inlineStr">
        <is>
          <t>5</t>
        </is>
      </c>
      <c r="U67" s="14" t="inlineStr">
        <is>
          <t>AQUARIS - Bơm giếng SP.pdf, tr.29</t>
        </is>
      </c>
    </row>
    <row r="68" ht="18" customHeight="1" s="1">
      <c r="A68" s="8" t="n">
        <v>3</v>
      </c>
      <c r="B68" s="8" t="inlineStr">
        <is>
          <t>10SP125-04</t>
        </is>
      </c>
      <c r="C68" s="8" t="n">
        <v>37</v>
      </c>
      <c r="D68" s="8" t="n"/>
      <c r="E68" s="8" t="n">
        <v>160</v>
      </c>
      <c r="F68" s="8" t="n">
        <v>115</v>
      </c>
      <c r="G68" s="9" t="n">
        <v>68100000</v>
      </c>
      <c r="H68" s="10" t="n">
        <v>81700000</v>
      </c>
      <c r="I68" s="19" t="n">
        <v>95500000</v>
      </c>
      <c r="J68" s="8" t="n"/>
      <c r="K68" s="8" t="n"/>
      <c r="L68" s="8" t="n"/>
      <c r="M68" s="46" t="n"/>
      <c r="N68" s="44" t="inlineStr">
        <is>
          <t>Không có</t>
        </is>
      </c>
      <c r="O68" s="44" t="inlineStr">
        <is>
          <t>Không có</t>
        </is>
      </c>
      <c r="P68" s="8" t="inlineStr">
        <is>
          <t>Có</t>
        </is>
      </c>
      <c r="Q68" s="8" t="n">
        <v>37</v>
      </c>
      <c r="R68" s="8" t="n">
        <v>160</v>
      </c>
      <c r="S68" s="8" t="n">
        <v>115</v>
      </c>
      <c r="T68" s="8" t="inlineStr">
        <is>
          <t>5</t>
        </is>
      </c>
      <c r="U68" s="8" t="inlineStr">
        <is>
          <t>AQUARIS - Bơm giếng SP.pdf, tr.29</t>
        </is>
      </c>
    </row>
    <row r="69" ht="18" customHeight="1" s="1">
      <c r="A69" s="14" t="n">
        <v>4</v>
      </c>
      <c r="B69" s="14" t="inlineStr">
        <is>
          <t>10SP160-03</t>
        </is>
      </c>
      <c r="C69" s="14" t="n">
        <v>37</v>
      </c>
      <c r="D69" s="14" t="n"/>
      <c r="E69" s="43" t="n">
        <v>216</v>
      </c>
      <c r="F69" s="43" t="n">
        <v>103</v>
      </c>
      <c r="G69" s="9" t="n">
        <v>68100000</v>
      </c>
      <c r="H69" s="10" t="n">
        <v>81700000</v>
      </c>
      <c r="I69" s="19" t="n">
        <v>95500000</v>
      </c>
      <c r="J69" s="14" t="n"/>
      <c r="K69" s="14" t="n"/>
      <c r="L69" s="14" t="n"/>
      <c r="M69" s="46" t="n"/>
      <c r="N69" s="14" t="inlineStr">
        <is>
          <t>Có</t>
        </is>
      </c>
      <c r="O69" s="14" t="inlineStr">
        <is>
          <t>Có</t>
        </is>
      </c>
      <c r="P69" s="14" t="inlineStr">
        <is>
          <t>Có</t>
        </is>
      </c>
      <c r="Q69" s="14" t="n">
        <v>37</v>
      </c>
      <c r="R69" s="43" t="n">
        <v>180</v>
      </c>
      <c r="S69" s="43" t="n">
        <v>99</v>
      </c>
      <c r="T69" s="14" t="inlineStr">
        <is>
          <t>6</t>
        </is>
      </c>
      <c r="U69" s="14" t="inlineStr">
        <is>
          <t>PEROTAC - Bơm giếng SP.pdf, tr.13 (hãng khác: AQUARIS, REDPUMP)</t>
        </is>
      </c>
      <c r="V69" s="14" t="inlineStr">
        <is>
          <t>Thông số AQUARIS khác PEROTAC (xem cột riêng)</t>
        </is>
      </c>
    </row>
    <row r="70" ht="18" customHeight="1" s="1">
      <c r="A70" s="8" t="n">
        <v>5</v>
      </c>
      <c r="B70" s="8" t="inlineStr">
        <is>
          <t>10SP125-05</t>
        </is>
      </c>
      <c r="C70" s="8" t="n">
        <v>55</v>
      </c>
      <c r="D70" s="8" t="n"/>
      <c r="E70" s="8" t="n">
        <v>160</v>
      </c>
      <c r="F70" s="8" t="n">
        <v>146</v>
      </c>
      <c r="G70" s="8" t="n"/>
      <c r="H70" s="8" t="n"/>
      <c r="I70" s="8" t="n"/>
      <c r="J70" s="8" t="n"/>
      <c r="K70" s="8" t="n"/>
      <c r="L70" s="8" t="n"/>
      <c r="M70" s="46" t="n"/>
      <c r="N70" s="44" t="inlineStr">
        <is>
          <t>Không có</t>
        </is>
      </c>
      <c r="O70" s="44" t="inlineStr">
        <is>
          <t>Không có</t>
        </is>
      </c>
      <c r="P70" s="8" t="inlineStr">
        <is>
          <t>Có</t>
        </is>
      </c>
      <c r="Q70" s="8" t="n">
        <v>55</v>
      </c>
      <c r="R70" s="8" t="n">
        <v>160</v>
      </c>
      <c r="S70" s="8" t="n">
        <v>146</v>
      </c>
      <c r="T70" s="8" t="inlineStr">
        <is>
          <t>5</t>
        </is>
      </c>
      <c r="U70" s="8" t="inlineStr">
        <is>
          <t>AQUARIS - Bơm giếng SP.pdf, tr.29</t>
        </is>
      </c>
    </row>
    <row r="71" ht="18" customHeight="1" s="1">
      <c r="A71" s="14" t="n">
        <v>6</v>
      </c>
      <c r="B71" s="14" t="inlineStr">
        <is>
          <t>10SP160-04</t>
        </is>
      </c>
      <c r="C71" s="14" t="n">
        <v>55</v>
      </c>
      <c r="D71" s="14" t="n"/>
      <c r="E71" s="43" t="n">
        <v>216</v>
      </c>
      <c r="F71" s="43" t="n">
        <v>137</v>
      </c>
      <c r="G71" s="14" t="n"/>
      <c r="H71" s="14" t="n"/>
      <c r="I71" s="14" t="n"/>
      <c r="J71" s="14" t="n"/>
      <c r="K71" s="14" t="n"/>
      <c r="L71" s="14" t="n"/>
      <c r="M71" s="46" t="n"/>
      <c r="N71" s="14" t="inlineStr">
        <is>
          <t>Có</t>
        </is>
      </c>
      <c r="O71" s="14" t="inlineStr">
        <is>
          <t>Có</t>
        </is>
      </c>
      <c r="P71" s="14" t="inlineStr">
        <is>
          <t>Có</t>
        </is>
      </c>
      <c r="Q71" s="14" t="n">
        <v>55</v>
      </c>
      <c r="R71" s="43" t="n">
        <v>180</v>
      </c>
      <c r="S71" s="43" t="n">
        <v>132</v>
      </c>
      <c r="T71" s="14" t="inlineStr">
        <is>
          <t>6</t>
        </is>
      </c>
      <c r="U71" s="14" t="inlineStr">
        <is>
          <t>PEROTAC - Bơm giếng SP.pdf, tr.13 (hãng khác: AQUARIS, REDPUMP)</t>
        </is>
      </c>
      <c r="V71" s="14" t="inlineStr">
        <is>
          <t>Thông số AQUARIS khác PEROTAC (xem cột riêng)</t>
        </is>
      </c>
    </row>
    <row r="72" ht="18" customHeight="1" s="1">
      <c r="A72" s="8" t="n">
        <v>7</v>
      </c>
      <c r="B72" s="8" t="inlineStr">
        <is>
          <t>10SP125-06</t>
        </is>
      </c>
      <c r="C72" s="8" t="n">
        <v>63</v>
      </c>
      <c r="D72" s="8" t="n"/>
      <c r="E72" s="8" t="n">
        <v>160</v>
      </c>
      <c r="F72" s="8" t="n">
        <v>178</v>
      </c>
      <c r="G72" s="8" t="n"/>
      <c r="H72" s="8" t="n"/>
      <c r="I72" s="8" t="n"/>
      <c r="J72" s="8" t="n"/>
      <c r="K72" s="8" t="n"/>
      <c r="L72" s="8" t="n"/>
      <c r="M72" s="46" t="n"/>
      <c r="N72" s="44" t="inlineStr">
        <is>
          <t>Không có</t>
        </is>
      </c>
      <c r="O72" s="44" t="inlineStr">
        <is>
          <t>Không có</t>
        </is>
      </c>
      <c r="P72" s="8" t="inlineStr">
        <is>
          <t>Có</t>
        </is>
      </c>
      <c r="Q72" s="8" t="n">
        <v>63</v>
      </c>
      <c r="R72" s="8" t="n">
        <v>160</v>
      </c>
      <c r="S72" s="8" t="n">
        <v>178</v>
      </c>
      <c r="T72" s="8" t="inlineStr">
        <is>
          <t>5</t>
        </is>
      </c>
      <c r="U72" s="8" t="inlineStr">
        <is>
          <t>AQUARIS - Bơm giếng SP.pdf, tr.29</t>
        </is>
      </c>
    </row>
    <row r="73" ht="18" customHeight="1" s="1">
      <c r="A73" s="14" t="n">
        <v>8</v>
      </c>
      <c r="B73" s="14" t="inlineStr">
        <is>
          <t>10SP160-05</t>
        </is>
      </c>
      <c r="C73" s="14" t="n">
        <v>63</v>
      </c>
      <c r="D73" s="14" t="n"/>
      <c r="E73" s="43" t="n">
        <v>216</v>
      </c>
      <c r="F73" s="43" t="n">
        <v>171</v>
      </c>
      <c r="G73" s="14" t="n"/>
      <c r="H73" s="14" t="n"/>
      <c r="I73" s="14" t="n"/>
      <c r="J73" s="14" t="n"/>
      <c r="K73" s="14" t="n"/>
      <c r="L73" s="14" t="n"/>
      <c r="M73" s="46" t="n"/>
      <c r="N73" s="14" t="inlineStr">
        <is>
          <t>Có</t>
        </is>
      </c>
      <c r="O73" s="14" t="inlineStr">
        <is>
          <t>Có</t>
        </is>
      </c>
      <c r="P73" s="14" t="inlineStr">
        <is>
          <t>Có</t>
        </is>
      </c>
      <c r="Q73" s="14" t="n">
        <v>63</v>
      </c>
      <c r="R73" s="43" t="n">
        <v>180</v>
      </c>
      <c r="S73" s="43" t="n">
        <v>160</v>
      </c>
      <c r="T73" s="14" t="inlineStr">
        <is>
          <t>6</t>
        </is>
      </c>
      <c r="U73" s="14" t="inlineStr">
        <is>
          <t>PEROTAC - Bơm giếng SP.pdf, tr.13 (hãng khác: AQUARIS, REDPUMP)</t>
        </is>
      </c>
      <c r="V73" s="14" t="inlineStr">
        <is>
          <t>Thông số AQUARIS khác PEROTAC (xem cột riêng)</t>
        </is>
      </c>
    </row>
    <row r="74" ht="18" customHeight="1" s="1">
      <c r="A74" s="8" t="n">
        <v>9</v>
      </c>
      <c r="B74" s="8" t="inlineStr">
        <is>
          <t>10SP125-07</t>
        </is>
      </c>
      <c r="C74" s="8" t="n">
        <v>75</v>
      </c>
      <c r="D74" s="8" t="n"/>
      <c r="E74" s="8" t="n">
        <v>160</v>
      </c>
      <c r="F74" s="8" t="n">
        <v>208</v>
      </c>
      <c r="G74" s="8" t="n"/>
      <c r="H74" s="8" t="n"/>
      <c r="I74" s="8" t="n"/>
      <c r="J74" s="8" t="n"/>
      <c r="K74" s="8" t="n"/>
      <c r="L74" s="8" t="n"/>
      <c r="M74" s="46" t="n"/>
      <c r="N74" s="44" t="inlineStr">
        <is>
          <t>Không có</t>
        </is>
      </c>
      <c r="O74" s="44" t="inlineStr">
        <is>
          <t>Không có</t>
        </is>
      </c>
      <c r="P74" s="8" t="inlineStr">
        <is>
          <t>Có</t>
        </is>
      </c>
      <c r="Q74" s="8" t="n">
        <v>75</v>
      </c>
      <c r="R74" s="8" t="n">
        <v>160</v>
      </c>
      <c r="S74" s="8" t="n">
        <v>208</v>
      </c>
      <c r="T74" s="8" t="inlineStr">
        <is>
          <t>5</t>
        </is>
      </c>
      <c r="U74" s="8" t="inlineStr">
        <is>
          <t>AQUARIS - Bơm giếng SP.pdf, tr.29</t>
        </is>
      </c>
    </row>
    <row r="75" ht="18" customHeight="1" s="1">
      <c r="A75" s="14" t="n">
        <v>10</v>
      </c>
      <c r="B75" s="14" t="inlineStr">
        <is>
          <t>10SP160-06</t>
        </is>
      </c>
      <c r="C75" s="14" t="n">
        <v>75</v>
      </c>
      <c r="D75" s="14" t="n"/>
      <c r="E75" s="43" t="n">
        <v>216</v>
      </c>
      <c r="F75" s="43" t="n">
        <v>205</v>
      </c>
      <c r="G75" s="14" t="n"/>
      <c r="H75" s="14" t="n"/>
      <c r="I75" s="14" t="n"/>
      <c r="J75" s="14" t="n"/>
      <c r="K75" s="14" t="n"/>
      <c r="L75" s="14" t="n"/>
      <c r="M75" s="46" t="n"/>
      <c r="N75" s="14" t="inlineStr">
        <is>
          <t>Có</t>
        </is>
      </c>
      <c r="O75" s="14" t="inlineStr">
        <is>
          <t>Có</t>
        </is>
      </c>
      <c r="P75" s="14" t="inlineStr">
        <is>
          <t>Có</t>
        </is>
      </c>
      <c r="Q75" s="14" t="n">
        <v>75</v>
      </c>
      <c r="R75" s="43" t="n">
        <v>180</v>
      </c>
      <c r="S75" s="43" t="n">
        <v>198</v>
      </c>
      <c r="T75" s="14" t="inlineStr">
        <is>
          <t>6</t>
        </is>
      </c>
      <c r="U75" s="14" t="inlineStr">
        <is>
          <t>PEROTAC - Bơm giếng SP.pdf, tr.13 (hãng khác: AQUARIS, REDPUMP)</t>
        </is>
      </c>
      <c r="V75" s="14" t="inlineStr">
        <is>
          <t>Thông số AQUARIS khác PEROTAC (xem cột riêng)</t>
        </is>
      </c>
    </row>
    <row r="76" ht="18" customHeight="1" s="1">
      <c r="A76" s="8" t="n">
        <v>11</v>
      </c>
      <c r="B76" s="8" t="inlineStr">
        <is>
          <t>10SP125-08</t>
        </is>
      </c>
      <c r="C76" s="8" t="n">
        <v>93</v>
      </c>
      <c r="D76" s="8" t="n"/>
      <c r="E76" s="8" t="n">
        <v>160</v>
      </c>
      <c r="F76" s="8" t="n">
        <v>235</v>
      </c>
      <c r="G76" s="8" t="n"/>
      <c r="H76" s="8" t="n"/>
      <c r="I76" s="8" t="n"/>
      <c r="J76" s="8" t="n"/>
      <c r="K76" s="8" t="n"/>
      <c r="L76" s="8" t="n"/>
      <c r="M76" s="46" t="n"/>
      <c r="N76" s="44" t="inlineStr">
        <is>
          <t>Không có</t>
        </is>
      </c>
      <c r="O76" s="44" t="inlineStr">
        <is>
          <t>Không có</t>
        </is>
      </c>
      <c r="P76" s="8" t="inlineStr">
        <is>
          <t>Có</t>
        </is>
      </c>
      <c r="Q76" s="8" t="n">
        <v>93</v>
      </c>
      <c r="R76" s="8" t="n">
        <v>160</v>
      </c>
      <c r="S76" s="8" t="n">
        <v>235</v>
      </c>
      <c r="T76" s="8" t="inlineStr">
        <is>
          <t>5</t>
        </is>
      </c>
      <c r="U76" s="8" t="inlineStr">
        <is>
          <t>AQUARIS - Bơm giếng SP.pdf, tr.29</t>
        </is>
      </c>
    </row>
    <row r="77" ht="18" customHeight="1" s="1">
      <c r="A77" s="14" t="n">
        <v>12</v>
      </c>
      <c r="B77" s="14" t="inlineStr">
        <is>
          <t>10SP125-09</t>
        </is>
      </c>
      <c r="C77" s="14" t="n">
        <v>93</v>
      </c>
      <c r="D77" s="14" t="n"/>
      <c r="E77" s="14" t="n">
        <v>160</v>
      </c>
      <c r="F77" s="14" t="n">
        <v>264</v>
      </c>
      <c r="G77" s="14" t="n"/>
      <c r="H77" s="14" t="n"/>
      <c r="I77" s="14" t="n"/>
      <c r="J77" s="14" t="n"/>
      <c r="K77" s="14" t="n"/>
      <c r="L77" s="14" t="n"/>
      <c r="M77" s="46" t="n"/>
      <c r="N77" s="44" t="inlineStr">
        <is>
          <t>Không có</t>
        </is>
      </c>
      <c r="O77" s="44" t="inlineStr">
        <is>
          <t>Không có</t>
        </is>
      </c>
      <c r="P77" s="14" t="inlineStr">
        <is>
          <t>Có</t>
        </is>
      </c>
      <c r="Q77" s="14" t="n">
        <v>93</v>
      </c>
      <c r="R77" s="14" t="n">
        <v>160</v>
      </c>
      <c r="S77" s="14" t="n">
        <v>264</v>
      </c>
      <c r="T77" s="14" t="inlineStr">
        <is>
          <t>5</t>
        </is>
      </c>
      <c r="U77" s="14" t="inlineStr">
        <is>
          <t>AQUARIS - Bơm giếng SP.pdf, tr.29</t>
        </is>
      </c>
    </row>
    <row r="78" ht="18" customHeight="1" s="1">
      <c r="A78" s="8" t="n">
        <v>13</v>
      </c>
      <c r="B78" s="8" t="inlineStr">
        <is>
          <t>10SP160-07</t>
        </is>
      </c>
      <c r="C78" s="43" t="n">
        <v>92</v>
      </c>
      <c r="D78" s="8" t="n"/>
      <c r="E78" s="43" t="n">
        <v>216</v>
      </c>
      <c r="F78" s="43" t="n">
        <v>240</v>
      </c>
      <c r="G78" s="8" t="n"/>
      <c r="H78" s="8" t="n"/>
      <c r="I78" s="8" t="n"/>
      <c r="J78" s="8" t="n"/>
      <c r="K78" s="8" t="n"/>
      <c r="L78" s="8" t="n"/>
      <c r="M78" s="46" t="n"/>
      <c r="N78" s="8" t="inlineStr">
        <is>
          <t>Có</t>
        </is>
      </c>
      <c r="O78" s="8" t="inlineStr">
        <is>
          <t>Có</t>
        </is>
      </c>
      <c r="P78" s="8" t="inlineStr">
        <is>
          <t>Có</t>
        </is>
      </c>
      <c r="Q78" s="43" t="n">
        <v>93</v>
      </c>
      <c r="R78" s="43" t="n">
        <v>180</v>
      </c>
      <c r="S78" s="43" t="n">
        <v>231</v>
      </c>
      <c r="T78" s="8" t="inlineStr">
        <is>
          <t>6</t>
        </is>
      </c>
      <c r="U78" s="8" t="inlineStr">
        <is>
          <t>PEROTAC - Bơm giếng SP.pdf, tr.13 (hãng khác: AQUARIS, REDPUMP)</t>
        </is>
      </c>
      <c r="V78" s="8" t="inlineStr">
        <is>
          <t>Thông số AQUARIS khác PEROTAC (xem cột riêng)</t>
        </is>
      </c>
    </row>
    <row r="79" ht="18" customHeight="1" s="1">
      <c r="A79" s="14" t="n">
        <v>14</v>
      </c>
      <c r="B79" s="14" t="inlineStr">
        <is>
          <t>10SP160-08</t>
        </is>
      </c>
      <c r="C79" s="43" t="n">
        <v>92</v>
      </c>
      <c r="D79" s="14" t="n"/>
      <c r="E79" s="43" t="n">
        <v>216</v>
      </c>
      <c r="F79" s="43" t="n">
        <v>274</v>
      </c>
      <c r="G79" s="14" t="n"/>
      <c r="H79" s="14" t="n"/>
      <c r="I79" s="14" t="n"/>
      <c r="J79" s="14" t="n"/>
      <c r="K79" s="14" t="n"/>
      <c r="L79" s="14" t="n"/>
      <c r="M79" s="46" t="n"/>
      <c r="N79" s="14" t="inlineStr">
        <is>
          <t>Có</t>
        </is>
      </c>
      <c r="O79" s="14" t="inlineStr">
        <is>
          <t>Có</t>
        </is>
      </c>
      <c r="P79" s="14" t="inlineStr">
        <is>
          <t>Có</t>
        </is>
      </c>
      <c r="Q79" s="43" t="n">
        <v>93</v>
      </c>
      <c r="R79" s="43" t="n">
        <v>180</v>
      </c>
      <c r="S79" s="43" t="n">
        <v>264</v>
      </c>
      <c r="T79" s="14" t="inlineStr">
        <is>
          <t>6</t>
        </is>
      </c>
      <c r="U79" s="14" t="inlineStr">
        <is>
          <t>PEROTAC - Bơm giếng SP.pdf, tr.13 (hãng khác: AQUARIS, REDPUMP)</t>
        </is>
      </c>
      <c r="V79" s="14" t="inlineStr">
        <is>
          <t>Thông số AQUARIS khác PEROTAC (xem cột riêng)</t>
        </is>
      </c>
    </row>
    <row r="80" ht="18" customHeight="1" s="1">
      <c r="A80" s="8" t="n">
        <v>15</v>
      </c>
      <c r="B80" s="8" t="inlineStr">
        <is>
          <t>10SP160-09</t>
        </is>
      </c>
      <c r="C80" s="8" t="n">
        <v>110</v>
      </c>
      <c r="D80" s="8" t="n"/>
      <c r="E80" s="43" t="n">
        <v>216</v>
      </c>
      <c r="F80" s="43" t="n">
        <v>308</v>
      </c>
      <c r="G80" s="8" t="n"/>
      <c r="H80" s="8" t="n"/>
      <c r="I80" s="8" t="n"/>
      <c r="J80" s="8" t="n"/>
      <c r="K80" s="8" t="n"/>
      <c r="L80" s="8" t="n"/>
      <c r="M80" s="45" t="n"/>
      <c r="N80" s="8" t="inlineStr">
        <is>
          <t>Có</t>
        </is>
      </c>
      <c r="O80" s="8" t="inlineStr">
        <is>
          <t>Có</t>
        </is>
      </c>
      <c r="P80" s="8" t="inlineStr">
        <is>
          <t>Có</t>
        </is>
      </c>
      <c r="Q80" s="8" t="n">
        <v>110</v>
      </c>
      <c r="R80" s="43" t="n">
        <v>180</v>
      </c>
      <c r="S80" s="43" t="n">
        <v>297</v>
      </c>
      <c r="T80" s="8" t="inlineStr">
        <is>
          <t>6</t>
        </is>
      </c>
      <c r="U80" s="8" t="inlineStr">
        <is>
          <t>PEROTAC - Bơm giếng SP.pdf, tr.13 (hãng khác: AQUARIS, REDPUMP)</t>
        </is>
      </c>
      <c r="V80" s="8" t="inlineStr">
        <is>
          <t>Thông số AQUARIS khác PEROTAC (xem cột riêng)</t>
        </is>
      </c>
    </row>
  </sheetData>
  <mergeCells count="5">
    <mergeCell ref="M67:M80"/>
    <mergeCell ref="M17:M18"/>
    <mergeCell ref="M2:M16"/>
    <mergeCell ref="M19:M40"/>
    <mergeCell ref="M41:M66"/>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R82"/>
  <sheetViews>
    <sheetView tabSelected="1" zoomScaleNormal="100" workbookViewId="0">
      <pane xSplit="2" ySplit="1" topLeftCell="C2" activePane="bottomRight" state="frozen"/>
      <selection pane="topRight" activeCell="A1" sqref="A1"/>
      <selection pane="bottomLeft" activeCell="A1" sqref="A1"/>
      <selection pane="bottomRight" activeCell="N70" sqref="N70"/>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13"/>
    <col width="16" customWidth="1" style="1" min="14" max="14"/>
    <col width="16" customWidth="1" style="1" min="15" max="15"/>
    <col width="16" customWidth="1" style="1" min="16" max="16"/>
    <col width="40" customWidth="1" style="1" min="17" max="17"/>
    <col width="45" customWidth="1" style="1" min="18" max="18"/>
  </cols>
  <sheetData>
    <row r="1" ht="30" customHeight="1" s="1">
      <c r="A1" s="2" t="inlineStr">
        <is>
          <t>STT</t>
        </is>
      </c>
      <c r="B1" s="2" t="inlineStr">
        <is>
          <t>MODEL</t>
        </is>
      </c>
      <c r="C1" s="2" t="inlineStr">
        <is>
          <t>CÔNG SUẤT (KW)</t>
        </is>
      </c>
      <c r="D1" s="2" t="inlineStr">
        <is>
          <t>Họng xả (DN)</t>
        </is>
      </c>
      <c r="E1" s="2" t="inlineStr">
        <is>
          <t>Lưu lượng max (m3/h)</t>
        </is>
      </c>
      <c r="F1" s="2" t="inlineStr">
        <is>
          <t>Cột áp max (m)</t>
        </is>
      </c>
      <c r="G1" s="3" t="inlineStr">
        <is>
          <t>REDPUMP</t>
        </is>
      </c>
      <c r="H1" s="4" t="inlineStr">
        <is>
          <t>PEROTAC</t>
        </is>
      </c>
      <c r="I1" s="5" t="inlineStr">
        <is>
          <t>AQUARIS</t>
        </is>
      </c>
      <c r="J1" s="6" t="inlineStr">
        <is>
          <t>Giá nhập TK</t>
        </is>
      </c>
      <c r="K1" s="6" t="inlineStr">
        <is>
          <t>Giá nhập ĐL</t>
        </is>
      </c>
      <c r="L1" s="6" t="inlineStr">
        <is>
          <t>Giá nhập SW</t>
        </is>
      </c>
      <c r="M1" s="2" t="inlineStr">
        <is>
          <t>Nhóm</t>
        </is>
      </c>
      <c r="N1" s="42" t="inlineStr">
        <is>
          <t>Có trong catalogue REDPUMP</t>
        </is>
      </c>
      <c r="O1" s="42" t="inlineStr">
        <is>
          <t>Có trong catalogue PEROTAC</t>
        </is>
      </c>
      <c r="P1" s="42" t="inlineStr">
        <is>
          <t>Có trong catalogue AQUARIS</t>
        </is>
      </c>
      <c r="Q1" s="42" t="inlineStr">
        <is>
          <t>Nguồn thông số (catalogue đã duyệt)</t>
        </is>
      </c>
      <c r="R1" s="42" t="inlineStr">
        <is>
          <t>Ghi chú</t>
        </is>
      </c>
    </row>
    <row r="2" ht="18" customHeight="1" s="1">
      <c r="A2" s="8" t="n">
        <v>1</v>
      </c>
      <c r="B2" s="8" t="inlineStr">
        <is>
          <t>SSM-150F (1 pha)</t>
        </is>
      </c>
      <c r="C2" s="8" t="n">
        <v>0.15</v>
      </c>
      <c r="D2" s="8" t="n">
        <v>32</v>
      </c>
      <c r="E2" s="8" t="n">
        <v>7</v>
      </c>
      <c r="F2" s="8" t="n">
        <v>6</v>
      </c>
      <c r="G2" s="9" t="n">
        <v>1400000</v>
      </c>
      <c r="H2" s="10" t="n">
        <v>1700000</v>
      </c>
      <c r="I2" s="19" t="n">
        <v>2400000</v>
      </c>
      <c r="J2" s="12" t="n">
        <v>1050000</v>
      </c>
      <c r="K2" s="8" t="n"/>
      <c r="L2" s="8" t="n"/>
      <c r="M2" s="39" t="inlineStr">
        <is>
          <t>Bơm SSm nửa gang nửa inox</t>
        </is>
      </c>
      <c r="N2" s="8" t="inlineStr">
        <is>
          <t>Có</t>
        </is>
      </c>
      <c r="O2" s="8" t="inlineStr">
        <is>
          <t>Có</t>
        </is>
      </c>
      <c r="P2" s="8" t="inlineStr">
        <is>
          <t>Có</t>
        </is>
      </c>
      <c r="Q2" s="8" t="inlineStr">
        <is>
          <t>PEROTAC - Bơm chìm nước thải SS.pdf, tr.1 (hãng khác: AQUARIS, REDPUMP)</t>
        </is>
      </c>
    </row>
    <row r="3" ht="18" customHeight="1" s="1">
      <c r="A3" s="14" t="n">
        <v>2</v>
      </c>
      <c r="B3" s="14" t="inlineStr">
        <is>
          <t>SSM-180F (1 pha)</t>
        </is>
      </c>
      <c r="C3" s="14" t="n">
        <v>0.18</v>
      </c>
      <c r="D3" s="14" t="n">
        <v>32</v>
      </c>
      <c r="E3" s="14" t="n">
        <v>8</v>
      </c>
      <c r="F3" s="14" t="n">
        <v>7</v>
      </c>
      <c r="G3" s="9" t="n">
        <v>1450000</v>
      </c>
      <c r="H3" s="10" t="n">
        <v>1750000</v>
      </c>
      <c r="I3" s="19" t="n">
        <v>2500000</v>
      </c>
      <c r="J3" s="15" t="n">
        <v>1050000</v>
      </c>
      <c r="K3" s="14" t="n"/>
      <c r="L3" s="14" t="n"/>
      <c r="M3" s="46" t="n"/>
      <c r="N3" s="14" t="inlineStr">
        <is>
          <t>Có</t>
        </is>
      </c>
      <c r="O3" s="14" t="inlineStr">
        <is>
          <t>Có</t>
        </is>
      </c>
      <c r="P3" s="14" t="inlineStr">
        <is>
          <t>Có</t>
        </is>
      </c>
      <c r="Q3" s="14" t="inlineStr">
        <is>
          <t>PEROTAC - Bơm chìm nước thải SS.pdf, tr.1 (hãng khác: AQUARIS, REDPUMP)</t>
        </is>
      </c>
    </row>
    <row r="4" ht="18" customHeight="1" s="1">
      <c r="A4" s="8" t="n">
        <v>3</v>
      </c>
      <c r="B4" s="8" t="inlineStr">
        <is>
          <t>SSM-250F (1 pha)</t>
        </is>
      </c>
      <c r="C4" s="8" t="n">
        <v>0.25</v>
      </c>
      <c r="D4" s="8" t="n">
        <v>32</v>
      </c>
      <c r="E4" s="8" t="n">
        <v>9</v>
      </c>
      <c r="F4" s="8" t="n">
        <v>7</v>
      </c>
      <c r="G4" s="9" t="n">
        <v>1500000</v>
      </c>
      <c r="H4" s="10" t="n">
        <v>1800000</v>
      </c>
      <c r="I4" s="19" t="n">
        <v>2600000</v>
      </c>
      <c r="J4" s="12" t="n">
        <v>1050000</v>
      </c>
      <c r="K4" s="8" t="n"/>
      <c r="L4" s="8" t="n"/>
      <c r="M4" s="46" t="n"/>
      <c r="N4" s="8" t="inlineStr">
        <is>
          <t>Có</t>
        </is>
      </c>
      <c r="O4" s="8" t="inlineStr">
        <is>
          <t>Có</t>
        </is>
      </c>
      <c r="P4" s="8" t="inlineStr">
        <is>
          <t>Có</t>
        </is>
      </c>
      <c r="Q4" s="8" t="inlineStr">
        <is>
          <t>PEROTAC - Bơm chìm nước thải SS.pdf, tr.1 (hãng khác: AQUARIS, REDPUMP)</t>
        </is>
      </c>
    </row>
    <row r="5" ht="18" customHeight="1" s="1">
      <c r="A5" s="14" t="n">
        <v>4</v>
      </c>
      <c r="B5" s="14" t="inlineStr">
        <is>
          <t>SSM-370 (1 pha)</t>
        </is>
      </c>
      <c r="C5" s="14" t="n">
        <v>0.37</v>
      </c>
      <c r="D5" s="14" t="n">
        <v>32</v>
      </c>
      <c r="E5" s="14" t="n">
        <v>10</v>
      </c>
      <c r="F5" s="43" t="n">
        <v>9</v>
      </c>
      <c r="G5" s="9" t="n">
        <v>1600000</v>
      </c>
      <c r="H5" s="10" t="n">
        <v>2000000</v>
      </c>
      <c r="I5" s="19" t="n">
        <v>2800000</v>
      </c>
      <c r="J5" s="15" t="n">
        <v>1050000</v>
      </c>
      <c r="K5" s="14" t="n"/>
      <c r="L5" s="14" t="n"/>
      <c r="M5" s="46" t="n"/>
      <c r="N5" s="14" t="inlineStr">
        <is>
          <t>Có</t>
        </is>
      </c>
      <c r="O5" s="14" t="inlineStr">
        <is>
          <t>Có</t>
        </is>
      </c>
      <c r="P5" s="14" t="inlineStr">
        <is>
          <t>Có</t>
        </is>
      </c>
      <c r="Q5" s="14" t="inlineStr">
        <is>
          <t>PEROTAC - Bơm chìm nước thải SS.pdf, tr.1 (hãng khác: AQUARIS, REDPUMP)</t>
        </is>
      </c>
    </row>
    <row r="6" ht="18" customHeight="1" s="1">
      <c r="A6" s="8" t="n">
        <v>5</v>
      </c>
      <c r="B6" s="8" t="inlineStr">
        <is>
          <t>SSM-450F (1 pha)</t>
        </is>
      </c>
      <c r="C6" s="8" t="n">
        <v>0.45</v>
      </c>
      <c r="D6" s="8" t="n">
        <v>50</v>
      </c>
      <c r="E6" s="8" t="n">
        <v>18</v>
      </c>
      <c r="F6" s="8" t="n">
        <v>12</v>
      </c>
      <c r="G6" s="9" t="n">
        <v>2000000</v>
      </c>
      <c r="H6" s="10" t="n">
        <v>2500000</v>
      </c>
      <c r="I6" s="19" t="n">
        <v>3500000</v>
      </c>
      <c r="J6" s="12" t="n">
        <v>1450000</v>
      </c>
      <c r="K6" s="8" t="n"/>
      <c r="L6" s="8" t="n"/>
      <c r="M6" s="46" t="n"/>
      <c r="N6" s="8" t="inlineStr">
        <is>
          <t>Có</t>
        </is>
      </c>
      <c r="O6" s="8" t="inlineStr">
        <is>
          <t>Có</t>
        </is>
      </c>
      <c r="P6" s="8" t="inlineStr">
        <is>
          <t>Có</t>
        </is>
      </c>
      <c r="Q6" s="8" t="inlineStr">
        <is>
          <t>PEROTAC - Bơm chìm nước thải SS.pdf, tr.1 (hãng khác: AQUARIS, REDPUMP)</t>
        </is>
      </c>
    </row>
    <row r="7" ht="18" customHeight="1" s="1">
      <c r="A7" s="14" t="n">
        <v>6</v>
      </c>
      <c r="B7" s="14" t="inlineStr">
        <is>
          <t>SSM-750F (1 pha)</t>
        </is>
      </c>
      <c r="C7" s="14" t="n">
        <v>0.75</v>
      </c>
      <c r="D7" s="14" t="n">
        <v>50</v>
      </c>
      <c r="E7" s="14" t="n">
        <v>24</v>
      </c>
      <c r="F7" s="14" t="n">
        <v>14</v>
      </c>
      <c r="G7" s="9" t="n">
        <v>2400000</v>
      </c>
      <c r="H7" s="10" t="n">
        <v>3000000</v>
      </c>
      <c r="I7" s="19" t="n">
        <v>4200000</v>
      </c>
      <c r="J7" s="15" t="n">
        <v>1600000</v>
      </c>
      <c r="K7" s="14" t="n"/>
      <c r="L7" s="14" t="n"/>
      <c r="M7" s="46" t="n"/>
      <c r="N7" s="14" t="inlineStr">
        <is>
          <t>Có</t>
        </is>
      </c>
      <c r="O7" s="14" t="inlineStr">
        <is>
          <t>Có</t>
        </is>
      </c>
      <c r="P7" s="14" t="inlineStr">
        <is>
          <t>Có</t>
        </is>
      </c>
      <c r="Q7" s="14" t="inlineStr">
        <is>
          <t>PEROTAC - Bơm chìm nước thải SS.pdf, tr.1 (hãng khác: AQUARIS, REDPUMP)</t>
        </is>
      </c>
    </row>
    <row r="8" ht="18" customHeight="1" s="1">
      <c r="A8" s="8" t="n">
        <v>7</v>
      </c>
      <c r="B8" s="8" t="inlineStr">
        <is>
          <t>SSM-1100F (1 pha)</t>
        </is>
      </c>
      <c r="C8" s="8" t="n">
        <v>1.1</v>
      </c>
      <c r="D8" s="8" t="n">
        <v>50</v>
      </c>
      <c r="E8" s="8" t="n">
        <v>30</v>
      </c>
      <c r="F8" s="8" t="n">
        <v>15</v>
      </c>
      <c r="G8" s="9" t="n">
        <v>2700000</v>
      </c>
      <c r="H8" s="10" t="n">
        <v>3400000</v>
      </c>
      <c r="I8" s="19" t="n">
        <v>4800000</v>
      </c>
      <c r="J8" s="12" t="n">
        <v>2050000</v>
      </c>
      <c r="K8" s="8" t="n"/>
      <c r="L8" s="8" t="n"/>
      <c r="M8" s="46" t="n"/>
      <c r="N8" s="8" t="inlineStr">
        <is>
          <t>Có</t>
        </is>
      </c>
      <c r="O8" s="8" t="inlineStr">
        <is>
          <t>Có</t>
        </is>
      </c>
      <c r="P8" s="8" t="inlineStr">
        <is>
          <t>Có</t>
        </is>
      </c>
      <c r="Q8" s="8" t="inlineStr">
        <is>
          <t>PEROTAC - Bơm chìm nước thải SS.pdf, tr.1 (hãng khác: AQUARIS, REDPUMP)</t>
        </is>
      </c>
    </row>
    <row r="9" ht="18" customHeight="1" s="1">
      <c r="A9" s="14" t="n">
        <v>8</v>
      </c>
      <c r="B9" s="14" t="inlineStr">
        <is>
          <t>SSM-1500F (1 pha)</t>
        </is>
      </c>
      <c r="C9" s="14" t="n">
        <v>1.5</v>
      </c>
      <c r="D9" s="14" t="n">
        <v>80</v>
      </c>
      <c r="E9" s="14" t="n">
        <v>42</v>
      </c>
      <c r="F9" s="14" t="n">
        <v>16</v>
      </c>
      <c r="G9" s="9" t="n">
        <v>3500000</v>
      </c>
      <c r="H9" s="10" t="n">
        <v>4500000</v>
      </c>
      <c r="I9" s="19" t="n">
        <v>6300000</v>
      </c>
      <c r="J9" s="15" t="n">
        <v>2150000</v>
      </c>
      <c r="K9" s="14" t="n"/>
      <c r="L9" s="14" t="n"/>
      <c r="M9" s="46" t="n"/>
      <c r="N9" s="14" t="inlineStr">
        <is>
          <t>Có</t>
        </is>
      </c>
      <c r="O9" s="14" t="inlineStr">
        <is>
          <t>Có</t>
        </is>
      </c>
      <c r="P9" s="14" t="inlineStr">
        <is>
          <t>Có</t>
        </is>
      </c>
      <c r="Q9" s="14" t="inlineStr">
        <is>
          <t>PEROTAC - Bơm chìm nước thải SS.pdf, tr.1 (hãng khác: AQUARIS, REDPUMP)</t>
        </is>
      </c>
    </row>
    <row r="10" ht="18" customHeight="1" s="1">
      <c r="A10" s="8" t="n">
        <v>9</v>
      </c>
      <c r="B10" s="8" t="inlineStr">
        <is>
          <t>SSM-2200F (1 pha)</t>
        </is>
      </c>
      <c r="C10" s="8" t="n">
        <v>2.2</v>
      </c>
      <c r="D10" s="8" t="n">
        <v>80</v>
      </c>
      <c r="E10" s="8" t="n">
        <v>54</v>
      </c>
      <c r="F10" s="8" t="n">
        <v>19</v>
      </c>
      <c r="G10" s="9" t="n">
        <v>4000000</v>
      </c>
      <c r="H10" s="10" t="n">
        <v>5500000</v>
      </c>
      <c r="I10" s="19" t="n">
        <v>7700000</v>
      </c>
      <c r="J10" s="12" t="n">
        <v>2550000</v>
      </c>
      <c r="K10" s="8" t="n"/>
      <c r="L10" s="8" t="n"/>
      <c r="M10" s="46" t="n"/>
      <c r="N10" s="8" t="inlineStr">
        <is>
          <t>Có</t>
        </is>
      </c>
      <c r="O10" s="8" t="inlineStr">
        <is>
          <t>Có</t>
        </is>
      </c>
      <c r="P10" s="8" t="inlineStr">
        <is>
          <t>Có</t>
        </is>
      </c>
      <c r="Q10" s="8" t="inlineStr">
        <is>
          <t>PEROTAC - Bơm chìm nước thải SS.pdf, tr.1 (hãng khác: AQUARIS, REDPUMP)</t>
        </is>
      </c>
    </row>
    <row r="11" ht="18" customHeight="1" s="1">
      <c r="A11" s="14" t="n">
        <v>10</v>
      </c>
      <c r="B11" s="14" t="inlineStr">
        <is>
          <t>SSM-3000F (1 pha)</t>
        </is>
      </c>
      <c r="C11" s="14" t="n">
        <v>3</v>
      </c>
      <c r="D11" s="14" t="n">
        <v>100</v>
      </c>
      <c r="E11" s="14" t="n">
        <v>60</v>
      </c>
      <c r="F11" s="14" t="n">
        <v>22</v>
      </c>
      <c r="G11" s="9" t="n">
        <v>4500000</v>
      </c>
      <c r="H11" s="10" t="n">
        <v>6300000</v>
      </c>
      <c r="I11" s="19" t="n">
        <v>8900000</v>
      </c>
      <c r="J11" s="15" t="n">
        <v>3000000</v>
      </c>
      <c r="K11" s="14" t="n"/>
      <c r="L11" s="14" t="n"/>
      <c r="M11" s="46" t="n"/>
      <c r="N11" s="14" t="inlineStr">
        <is>
          <t>Có</t>
        </is>
      </c>
      <c r="O11" s="14" t="inlineStr">
        <is>
          <t>Có</t>
        </is>
      </c>
      <c r="P11" s="14" t="inlineStr">
        <is>
          <t>Có</t>
        </is>
      </c>
      <c r="Q11" s="14" t="inlineStr">
        <is>
          <t>PEROTAC - Bơm chìm nước thải SS.pdf, tr.1 (hãng khác: AQUARIS, REDPUMP)</t>
        </is>
      </c>
    </row>
    <row r="12" ht="18" customHeight="1" s="1">
      <c r="A12" s="8" t="n">
        <v>11</v>
      </c>
      <c r="B12" s="8" t="inlineStr">
        <is>
          <t>SS-150</t>
        </is>
      </c>
      <c r="C12" s="8" t="n">
        <v>0.15</v>
      </c>
      <c r="D12" s="8" t="n">
        <v>32</v>
      </c>
      <c r="E12" s="8" t="n">
        <v>7</v>
      </c>
      <c r="F12" s="8" t="n">
        <v>6</v>
      </c>
      <c r="G12" s="9" t="n">
        <v>1400000</v>
      </c>
      <c r="H12" s="10" t="n">
        <v>1700000</v>
      </c>
      <c r="I12" s="19" t="n">
        <v>2400000</v>
      </c>
      <c r="J12" s="12" t="n">
        <v>1050000</v>
      </c>
      <c r="K12" s="8" t="n"/>
      <c r="L12" s="8" t="n"/>
      <c r="M12" s="46" t="n"/>
      <c r="N12" s="8" t="inlineStr">
        <is>
          <t>Có</t>
        </is>
      </c>
      <c r="O12" s="8" t="inlineStr">
        <is>
          <t>Có</t>
        </is>
      </c>
      <c r="P12" s="8" t="inlineStr">
        <is>
          <t>Có</t>
        </is>
      </c>
      <c r="Q12" s="8" t="inlineStr">
        <is>
          <t>PEROTAC - Bơm chìm nước thải SS.pdf, tr.1 (hãng khác: AQUARIS, REDPUMP)</t>
        </is>
      </c>
    </row>
    <row r="13" ht="18" customHeight="1" s="1">
      <c r="A13" s="14" t="n">
        <v>12</v>
      </c>
      <c r="B13" s="14" t="inlineStr">
        <is>
          <t>SS-180</t>
        </is>
      </c>
      <c r="C13" s="14" t="n">
        <v>0.18</v>
      </c>
      <c r="D13" s="14" t="n">
        <v>32</v>
      </c>
      <c r="E13" s="14" t="n">
        <v>8</v>
      </c>
      <c r="F13" s="14" t="n">
        <v>7</v>
      </c>
      <c r="G13" s="9" t="n">
        <v>1450000</v>
      </c>
      <c r="H13" s="10" t="n">
        <v>1750000</v>
      </c>
      <c r="I13" s="19" t="n">
        <v>2500000</v>
      </c>
      <c r="J13" s="15" t="n">
        <v>1050000</v>
      </c>
      <c r="K13" s="14" t="n"/>
      <c r="L13" s="14" t="n"/>
      <c r="M13" s="46" t="n"/>
      <c r="N13" s="14" t="inlineStr">
        <is>
          <t>Có</t>
        </is>
      </c>
      <c r="O13" s="14" t="inlineStr">
        <is>
          <t>Có</t>
        </is>
      </c>
      <c r="P13" s="14" t="inlineStr">
        <is>
          <t>Có</t>
        </is>
      </c>
      <c r="Q13" s="14" t="inlineStr">
        <is>
          <t>PEROTAC - Bơm chìm nước thải SS.pdf, tr.1 (hãng khác: AQUARIS, REDPUMP)</t>
        </is>
      </c>
    </row>
    <row r="14" ht="18" customHeight="1" s="1">
      <c r="A14" s="8" t="n">
        <v>13</v>
      </c>
      <c r="B14" s="8" t="inlineStr">
        <is>
          <t>SS-250</t>
        </is>
      </c>
      <c r="C14" s="8" t="n">
        <v>0.25</v>
      </c>
      <c r="D14" s="8" t="n">
        <v>32</v>
      </c>
      <c r="E14" s="8" t="n">
        <v>9</v>
      </c>
      <c r="F14" s="8" t="n">
        <v>7</v>
      </c>
      <c r="G14" s="9" t="n">
        <v>1500000</v>
      </c>
      <c r="H14" s="10" t="n">
        <v>1800000</v>
      </c>
      <c r="I14" s="19" t="n">
        <v>2600000</v>
      </c>
      <c r="J14" s="12" t="n">
        <v>1050000</v>
      </c>
      <c r="K14" s="8" t="n"/>
      <c r="L14" s="8" t="n"/>
      <c r="M14" s="46" t="n"/>
      <c r="N14" s="8" t="inlineStr">
        <is>
          <t>Có</t>
        </is>
      </c>
      <c r="O14" s="8" t="inlineStr">
        <is>
          <t>Có</t>
        </is>
      </c>
      <c r="P14" s="8" t="inlineStr">
        <is>
          <t>Có</t>
        </is>
      </c>
      <c r="Q14" s="8" t="inlineStr">
        <is>
          <t>PEROTAC - Bơm chìm nước thải SS.pdf, tr.1 (hãng khác: AQUARIS, REDPUMP)</t>
        </is>
      </c>
    </row>
    <row r="15" ht="18" customHeight="1" s="1">
      <c r="A15" s="14" t="n">
        <v>14</v>
      </c>
      <c r="B15" s="14" t="inlineStr">
        <is>
          <t>SS-370</t>
        </is>
      </c>
      <c r="C15" s="14" t="n">
        <v>0.37</v>
      </c>
      <c r="D15" s="14" t="n">
        <v>32</v>
      </c>
      <c r="E15" s="14" t="n">
        <v>10</v>
      </c>
      <c r="F15" s="14" t="n">
        <v>9</v>
      </c>
      <c r="G15" s="9" t="n">
        <v>1600000</v>
      </c>
      <c r="H15" s="10" t="n">
        <v>2000000</v>
      </c>
      <c r="I15" s="19" t="n">
        <v>2800000</v>
      </c>
      <c r="J15" s="15" t="n">
        <v>1050000</v>
      </c>
      <c r="K15" s="14" t="n"/>
      <c r="L15" s="14" t="n"/>
      <c r="M15" s="46" t="n"/>
      <c r="N15" s="14" t="inlineStr">
        <is>
          <t>Có</t>
        </is>
      </c>
      <c r="O15" s="14" t="inlineStr">
        <is>
          <t>Có</t>
        </is>
      </c>
      <c r="P15" s="14" t="inlineStr">
        <is>
          <t>Có</t>
        </is>
      </c>
      <c r="Q15" s="14" t="inlineStr">
        <is>
          <t>PEROTAC - Bơm chìm nước thải SS.pdf, tr.1 (hãng khác: AQUARIS, REDPUMP)</t>
        </is>
      </c>
    </row>
    <row r="16" ht="18" customHeight="1" s="1">
      <c r="A16" s="8" t="n">
        <v>15</v>
      </c>
      <c r="B16" s="8" t="inlineStr">
        <is>
          <t>SS-450</t>
        </is>
      </c>
      <c r="C16" s="8" t="n">
        <v>0.45</v>
      </c>
      <c r="D16" s="8" t="n">
        <v>50</v>
      </c>
      <c r="E16" s="8" t="n">
        <v>18</v>
      </c>
      <c r="F16" s="8" t="n">
        <v>12</v>
      </c>
      <c r="G16" s="9" t="n">
        <v>2000000</v>
      </c>
      <c r="H16" s="10" t="n">
        <v>2500000</v>
      </c>
      <c r="I16" s="19" t="n">
        <v>3500000</v>
      </c>
      <c r="J16" s="12" t="n">
        <v>1450000</v>
      </c>
      <c r="K16" s="8" t="n"/>
      <c r="L16" s="8" t="n"/>
      <c r="M16" s="46" t="n"/>
      <c r="N16" s="8" t="inlineStr">
        <is>
          <t>Có</t>
        </is>
      </c>
      <c r="O16" s="8" t="inlineStr">
        <is>
          <t>Có</t>
        </is>
      </c>
      <c r="P16" s="8" t="inlineStr">
        <is>
          <t>Có</t>
        </is>
      </c>
      <c r="Q16" s="8" t="inlineStr">
        <is>
          <t>PEROTAC - Bơm chìm nước thải SS.pdf, tr.1 (hãng khác: AQUARIS, REDPUMP)</t>
        </is>
      </c>
    </row>
    <row r="17" ht="18" customHeight="1" s="1">
      <c r="A17" s="14" t="n">
        <v>16</v>
      </c>
      <c r="B17" s="14" t="inlineStr">
        <is>
          <t>SS-750</t>
        </is>
      </c>
      <c r="C17" s="14" t="n">
        <v>0.75</v>
      </c>
      <c r="D17" s="14" t="n">
        <v>50</v>
      </c>
      <c r="E17" s="14" t="n">
        <v>24</v>
      </c>
      <c r="F17" s="14" t="n">
        <v>14</v>
      </c>
      <c r="G17" s="9" t="n">
        <v>2400000</v>
      </c>
      <c r="H17" s="10" t="n">
        <v>3000000</v>
      </c>
      <c r="I17" s="19" t="n">
        <v>4200000</v>
      </c>
      <c r="J17" s="15" t="n">
        <v>1600000</v>
      </c>
      <c r="K17" s="14" t="n"/>
      <c r="L17" s="14" t="n"/>
      <c r="M17" s="46" t="n"/>
      <c r="N17" s="14" t="inlineStr">
        <is>
          <t>Có</t>
        </is>
      </c>
      <c r="O17" s="14" t="inlineStr">
        <is>
          <t>Có</t>
        </is>
      </c>
      <c r="P17" s="14" t="inlineStr">
        <is>
          <t>Có</t>
        </is>
      </c>
      <c r="Q17" s="14" t="inlineStr">
        <is>
          <t>PEROTAC - Bơm chìm nước thải SS.pdf, tr.1 (hãng khác: AQUARIS, REDPUMP)</t>
        </is>
      </c>
    </row>
    <row r="18" ht="18" customHeight="1" s="1">
      <c r="A18" s="8" t="n">
        <v>17</v>
      </c>
      <c r="B18" s="8" t="inlineStr">
        <is>
          <t>SS-1100</t>
        </is>
      </c>
      <c r="C18" s="8" t="n">
        <v>1.1</v>
      </c>
      <c r="D18" s="8" t="n">
        <v>50</v>
      </c>
      <c r="E18" s="8" t="n">
        <v>30</v>
      </c>
      <c r="F18" s="8" t="n">
        <v>15</v>
      </c>
      <c r="G18" s="9" t="n">
        <v>2700000</v>
      </c>
      <c r="H18" s="10" t="n">
        <v>3400000</v>
      </c>
      <c r="I18" s="19" t="n">
        <v>4800000</v>
      </c>
      <c r="J18" s="12" t="n">
        <v>2050000</v>
      </c>
      <c r="K18" s="8" t="n"/>
      <c r="L18" s="8" t="n"/>
      <c r="M18" s="46" t="n"/>
      <c r="N18" s="8" t="inlineStr">
        <is>
          <t>Có</t>
        </is>
      </c>
      <c r="O18" s="8" t="inlineStr">
        <is>
          <t>Có</t>
        </is>
      </c>
      <c r="P18" s="8" t="inlineStr">
        <is>
          <t>Có</t>
        </is>
      </c>
      <c r="Q18" s="8" t="inlineStr">
        <is>
          <t>PEROTAC - Bơm chìm nước thải SS.pdf, tr.1 (hãng khác: AQUARIS, REDPUMP)</t>
        </is>
      </c>
    </row>
    <row r="19" ht="18" customHeight="1" s="1">
      <c r="A19" s="14" t="n">
        <v>18</v>
      </c>
      <c r="B19" s="14" t="inlineStr">
        <is>
          <t>SS-1500</t>
        </is>
      </c>
      <c r="C19" s="14" t="n">
        <v>1.5</v>
      </c>
      <c r="D19" s="14" t="n">
        <v>80</v>
      </c>
      <c r="E19" s="14" t="n">
        <v>42</v>
      </c>
      <c r="F19" s="14" t="n">
        <v>16</v>
      </c>
      <c r="G19" s="9" t="n">
        <v>3500000</v>
      </c>
      <c r="H19" s="10" t="n">
        <v>4500000</v>
      </c>
      <c r="I19" s="19" t="n">
        <v>6300000</v>
      </c>
      <c r="J19" s="15" t="n">
        <v>2150000</v>
      </c>
      <c r="K19" s="14" t="n"/>
      <c r="L19" s="14" t="n"/>
      <c r="M19" s="46" t="n"/>
      <c r="N19" s="14" t="inlineStr">
        <is>
          <t>Có</t>
        </is>
      </c>
      <c r="O19" s="14" t="inlineStr">
        <is>
          <t>Có</t>
        </is>
      </c>
      <c r="P19" s="14" t="inlineStr">
        <is>
          <t>Có</t>
        </is>
      </c>
      <c r="Q19" s="14" t="inlineStr">
        <is>
          <t>PEROTAC - Bơm chìm nước thải SS.pdf, tr.1 (hãng khác: AQUARIS, REDPUMP)</t>
        </is>
      </c>
    </row>
    <row r="20" ht="18" customHeight="1" s="1">
      <c r="A20" s="8" t="n">
        <v>19</v>
      </c>
      <c r="B20" s="8" t="inlineStr">
        <is>
          <t>SS-2200</t>
        </is>
      </c>
      <c r="C20" s="8" t="n">
        <v>2.2</v>
      </c>
      <c r="D20" s="8" t="n">
        <v>80</v>
      </c>
      <c r="E20" s="8" t="n">
        <v>54</v>
      </c>
      <c r="F20" s="8" t="n">
        <v>19</v>
      </c>
      <c r="G20" s="9" t="n">
        <v>4000000</v>
      </c>
      <c r="H20" s="10" t="n">
        <v>5500000</v>
      </c>
      <c r="I20" s="19" t="n">
        <v>7700000</v>
      </c>
      <c r="J20" s="12" t="n">
        <v>2550000</v>
      </c>
      <c r="K20" s="8" t="n"/>
      <c r="L20" s="8" t="n"/>
      <c r="M20" s="46" t="n"/>
      <c r="N20" s="8" t="inlineStr">
        <is>
          <t>Có</t>
        </is>
      </c>
      <c r="O20" s="8" t="inlineStr">
        <is>
          <t>Có</t>
        </is>
      </c>
      <c r="P20" s="8" t="inlineStr">
        <is>
          <t>Có</t>
        </is>
      </c>
      <c r="Q20" s="8" t="inlineStr">
        <is>
          <t>PEROTAC - Bơm chìm nước thải SS.pdf, tr.1 (hãng khác: AQUARIS, REDPUMP)</t>
        </is>
      </c>
    </row>
    <row r="21" ht="18" customHeight="1" s="1">
      <c r="A21" s="14" t="n">
        <v>20</v>
      </c>
      <c r="B21" s="14" t="inlineStr">
        <is>
          <t xml:space="preserve">SS-3000 </t>
        </is>
      </c>
      <c r="C21" s="14" t="n">
        <v>3</v>
      </c>
      <c r="D21" s="14" t="n">
        <v>100</v>
      </c>
      <c r="E21" s="14" t="n">
        <v>60</v>
      </c>
      <c r="F21" s="14" t="n">
        <v>22</v>
      </c>
      <c r="G21" s="9" t="n">
        <v>4500000</v>
      </c>
      <c r="H21" s="10" t="n">
        <v>6300000</v>
      </c>
      <c r="I21" s="19" t="n">
        <v>8900000</v>
      </c>
      <c r="J21" s="15" t="n">
        <v>3000000</v>
      </c>
      <c r="K21" s="14" t="n"/>
      <c r="L21" s="14" t="n"/>
      <c r="M21" s="46" t="n"/>
      <c r="N21" s="14" t="inlineStr">
        <is>
          <t>Có</t>
        </is>
      </c>
      <c r="O21" s="14" t="inlineStr">
        <is>
          <t>Có</t>
        </is>
      </c>
      <c r="P21" s="14" t="inlineStr">
        <is>
          <t>Có</t>
        </is>
      </c>
      <c r="Q21" s="14" t="inlineStr">
        <is>
          <t>PEROTAC - Bơm chìm nước thải SS.pdf, tr.1 (hãng khác: AQUARIS, REDPUMP)</t>
        </is>
      </c>
    </row>
    <row r="22" ht="18" customHeight="1" s="1">
      <c r="A22" s="8" t="n">
        <v>21</v>
      </c>
      <c r="B22" s="8" t="inlineStr">
        <is>
          <t>SFM6-15-0.37F-220V</t>
        </is>
      </c>
      <c r="C22" s="8" t="n">
        <v>0.37</v>
      </c>
      <c r="D22" s="8" t="n">
        <v>42</v>
      </c>
      <c r="E22" s="8" t="n">
        <v>9</v>
      </c>
      <c r="F22" s="8" t="n">
        <v>17.4</v>
      </c>
      <c r="G22" s="9" t="n">
        <v>1600000</v>
      </c>
      <c r="H22" s="10" t="n">
        <v>2000000</v>
      </c>
      <c r="I22" s="19" t="n">
        <v>2800000</v>
      </c>
      <c r="J22" s="12" t="n">
        <v>1450000</v>
      </c>
      <c r="K22" s="8" t="n"/>
      <c r="L22" s="8" t="n"/>
      <c r="M22" s="46" t="n"/>
      <c r="R22" s="44" t="inlineStr">
        <is>
          <t>Không có trong catalogue đã duyệt – giữ nguyên thông số cũ</t>
        </is>
      </c>
    </row>
    <row r="23" ht="18" customHeight="1" s="1">
      <c r="A23" s="14" t="n">
        <v>22</v>
      </c>
      <c r="B23" s="14" t="inlineStr">
        <is>
          <t>SFM6-18-0.55F-220V</t>
        </is>
      </c>
      <c r="C23" s="14" t="n">
        <v>0.55</v>
      </c>
      <c r="D23" s="14" t="n">
        <v>42</v>
      </c>
      <c r="E23" s="14" t="n">
        <v>9</v>
      </c>
      <c r="F23" s="14" t="n">
        <v>20.2</v>
      </c>
      <c r="G23" s="9" t="n">
        <v>2000000</v>
      </c>
      <c r="H23" s="10" t="n">
        <v>2500000</v>
      </c>
      <c r="I23" s="19" t="n">
        <v>3500000</v>
      </c>
      <c r="J23" s="15" t="n">
        <v>1550000</v>
      </c>
      <c r="K23" s="14" t="n"/>
      <c r="L23" s="14" t="n"/>
      <c r="M23" s="46" t="n"/>
      <c r="R23" s="44" t="inlineStr">
        <is>
          <t>Không có trong catalogue đã duyệt – giữ nguyên thông số cũ</t>
        </is>
      </c>
    </row>
    <row r="24" ht="18" customHeight="1" s="1">
      <c r="A24" s="8" t="n">
        <v>23</v>
      </c>
      <c r="B24" s="8" t="inlineStr">
        <is>
          <t>SFM6-22-0.75F-220V</t>
        </is>
      </c>
      <c r="C24" s="8" t="n">
        <v>0.75</v>
      </c>
      <c r="D24" s="8" t="n">
        <v>42</v>
      </c>
      <c r="E24" s="8" t="n">
        <v>12</v>
      </c>
      <c r="F24" s="8" t="n">
        <v>24.4</v>
      </c>
      <c r="G24" s="9" t="n">
        <v>2400000</v>
      </c>
      <c r="H24" s="10" t="n">
        <v>3000000</v>
      </c>
      <c r="I24" s="19" t="n">
        <v>4200000</v>
      </c>
      <c r="J24" s="12" t="n">
        <v>1650000</v>
      </c>
      <c r="K24" s="8" t="n"/>
      <c r="L24" s="8" t="n"/>
      <c r="M24" s="46" t="n"/>
      <c r="R24" s="44" t="inlineStr">
        <is>
          <t>Không có trong catalogue đã duyệt – giữ nguyên thông số cũ</t>
        </is>
      </c>
    </row>
    <row r="25" ht="18" customHeight="1" s="1">
      <c r="A25" s="14" t="n">
        <v>24</v>
      </c>
      <c r="B25" s="14" t="inlineStr">
        <is>
          <t>SFM6-25-1.1F-220V</t>
        </is>
      </c>
      <c r="C25" s="14" t="n">
        <v>1.1</v>
      </c>
      <c r="D25" s="14" t="n">
        <v>42</v>
      </c>
      <c r="E25" s="14" t="n">
        <v>15</v>
      </c>
      <c r="F25" s="14" t="n">
        <v>27.5</v>
      </c>
      <c r="G25" s="9" t="n">
        <v>2700000</v>
      </c>
      <c r="H25" s="10" t="n">
        <v>3400000</v>
      </c>
      <c r="I25" s="19" t="n">
        <v>4800000</v>
      </c>
      <c r="J25" s="15" t="n">
        <v>2050000</v>
      </c>
      <c r="K25" s="14" t="n"/>
      <c r="L25" s="14" t="n"/>
      <c r="M25" s="46" t="n"/>
      <c r="R25" s="44" t="inlineStr">
        <is>
          <t>Không có trong catalogue đã duyệt – giữ nguyên thông số cũ</t>
        </is>
      </c>
    </row>
    <row r="26" ht="18" customHeight="1" s="1">
      <c r="A26" s="8" t="n">
        <v>25</v>
      </c>
      <c r="B26" s="8" t="inlineStr">
        <is>
          <t>SFM10-28-1.5F-220v</t>
        </is>
      </c>
      <c r="C26" s="8" t="n">
        <v>1.5</v>
      </c>
      <c r="D26" s="8" t="n">
        <v>48</v>
      </c>
      <c r="E26" s="8" t="n">
        <v>15</v>
      </c>
      <c r="F26" s="8" t="n">
        <v>31.9</v>
      </c>
      <c r="G26" s="9" t="n">
        <v>3500000</v>
      </c>
      <c r="H26" s="10" t="n">
        <v>4500000</v>
      </c>
      <c r="I26" s="19" t="n">
        <v>6300000</v>
      </c>
      <c r="J26" s="12" t="n">
        <v>2400000</v>
      </c>
      <c r="K26" s="8" t="n"/>
      <c r="L26" s="8" t="n"/>
      <c r="M26" s="46" t="n"/>
      <c r="R26" s="44" t="inlineStr">
        <is>
          <t>Không có trong catalogue đã duyệt – giữ nguyên thông số cũ</t>
        </is>
      </c>
    </row>
    <row r="27" ht="18" customHeight="1" s="1">
      <c r="A27" s="14" t="n">
        <v>26</v>
      </c>
      <c r="B27" s="14" t="inlineStr">
        <is>
          <t>SFM15-32-2.2F - 220V</t>
        </is>
      </c>
      <c r="C27" s="14" t="n">
        <v>2.2</v>
      </c>
      <c r="D27" s="14" t="n">
        <v>48</v>
      </c>
      <c r="E27" s="14" t="n">
        <v>30</v>
      </c>
      <c r="F27" s="14" t="n">
        <v>37.4</v>
      </c>
      <c r="G27" s="9" t="n">
        <v>4500000</v>
      </c>
      <c r="H27" s="10" t="n">
        <v>5300000</v>
      </c>
      <c r="I27" s="19" t="n">
        <v>10400000</v>
      </c>
      <c r="J27" s="15" t="n">
        <v>3050000</v>
      </c>
      <c r="K27" s="14" t="n"/>
      <c r="L27" s="14" t="n"/>
      <c r="M27" s="46" t="n"/>
      <c r="R27" s="44" t="inlineStr">
        <is>
          <t>Không có trong catalogue đã duyệt – giữ nguyên thông số cũ</t>
        </is>
      </c>
    </row>
    <row r="28" ht="18" customHeight="1" s="1">
      <c r="A28" s="8" t="n">
        <v>27</v>
      </c>
      <c r="B28" s="8" t="inlineStr">
        <is>
          <t>SF15-40-3.0-380V</t>
        </is>
      </c>
      <c r="C28" s="8" t="n">
        <v>3</v>
      </c>
      <c r="D28" s="8" t="n">
        <v>60</v>
      </c>
      <c r="E28" s="8" t="n">
        <v>30</v>
      </c>
      <c r="F28" s="8" t="n">
        <v>41</v>
      </c>
      <c r="G28" s="9" t="n">
        <v>5900000</v>
      </c>
      <c r="H28" s="10" t="n">
        <v>7000000</v>
      </c>
      <c r="I28" s="19" t="n">
        <v>13200000</v>
      </c>
      <c r="J28" s="12" t="n">
        <v>4000000</v>
      </c>
      <c r="K28" s="8" t="n"/>
      <c r="L28" s="8" t="n"/>
      <c r="M28" s="46" t="n"/>
      <c r="R28" s="44" t="inlineStr">
        <is>
          <t>Không có trong catalogue đã duyệt – giữ nguyên thông số cũ</t>
        </is>
      </c>
    </row>
    <row r="29" ht="18" customHeight="1" s="1">
      <c r="A29" s="14" t="n">
        <v>28</v>
      </c>
      <c r="B29" s="14" t="inlineStr">
        <is>
          <t>SF20-40-4.0-380V</t>
        </is>
      </c>
      <c r="C29" s="14" t="n">
        <v>4</v>
      </c>
      <c r="D29" s="14" t="n">
        <v>60</v>
      </c>
      <c r="E29" s="14" t="n">
        <v>36</v>
      </c>
      <c r="F29" s="14" t="n">
        <v>46.4</v>
      </c>
      <c r="G29" s="9" t="n">
        <v>6900000</v>
      </c>
      <c r="H29" s="10" t="n">
        <v>8200000</v>
      </c>
      <c r="I29" s="19" t="n">
        <v>16400000</v>
      </c>
      <c r="J29" s="15" t="n">
        <v>4600000</v>
      </c>
      <c r="K29" s="14" t="n"/>
      <c r="L29" s="14" t="n"/>
      <c r="M29" s="46" t="n"/>
      <c r="R29" s="44" t="inlineStr">
        <is>
          <t>Không có trong catalogue đã duyệt – giữ nguyên thông số cũ</t>
        </is>
      </c>
    </row>
    <row r="30" ht="18" customHeight="1" s="1">
      <c r="A30" s="8" t="n">
        <v>29</v>
      </c>
      <c r="B30" s="8" t="inlineStr">
        <is>
          <t>SF27-50-5.5-380V</t>
        </is>
      </c>
      <c r="C30" s="8" t="n">
        <v>5.5</v>
      </c>
      <c r="D30" s="8" t="n">
        <v>60</v>
      </c>
      <c r="E30" s="8" t="n">
        <v>48</v>
      </c>
      <c r="F30" s="8" t="n">
        <v>57.9</v>
      </c>
      <c r="G30" s="9" t="n">
        <v>8900000</v>
      </c>
      <c r="H30" s="10" t="n">
        <v>10500000</v>
      </c>
      <c r="I30" s="19" t="n">
        <v>20600000</v>
      </c>
      <c r="J30" s="12" t="n">
        <v>6500000</v>
      </c>
      <c r="K30" s="8" t="n"/>
      <c r="L30" s="8" t="n"/>
      <c r="M30" s="46" t="n"/>
      <c r="R30" s="44" t="inlineStr">
        <is>
          <t>Không có trong catalogue đã duyệt – giữ nguyên thông số cũ</t>
        </is>
      </c>
    </row>
    <row r="31" ht="18" customHeight="1" s="1">
      <c r="A31" s="14" t="n">
        <v>30</v>
      </c>
      <c r="B31" s="14" t="inlineStr">
        <is>
          <t>SF27-55-7.5-380V</t>
        </is>
      </c>
      <c r="C31" s="14" t="n">
        <v>7.5</v>
      </c>
      <c r="D31" s="14" t="n">
        <v>60</v>
      </c>
      <c r="E31" s="14" t="n">
        <v>54</v>
      </c>
      <c r="F31" s="14" t="n">
        <v>58.5</v>
      </c>
      <c r="G31" s="9" t="n">
        <v>10900000</v>
      </c>
      <c r="H31" s="10" t="n">
        <v>12900000</v>
      </c>
      <c r="I31" s="19" t="n">
        <v>25200000</v>
      </c>
      <c r="J31" s="15" t="n">
        <v>7100000</v>
      </c>
      <c r="K31" s="14" t="n"/>
      <c r="L31" s="14" t="n"/>
      <c r="M31" s="45" t="n"/>
      <c r="R31" s="44" t="inlineStr">
        <is>
          <t>Không có trong catalogue đã duyệt – giữ nguyên thông số cũ</t>
        </is>
      </c>
    </row>
    <row r="32" ht="18" customHeight="1" s="1">
      <c r="A32" s="8" t="n">
        <v>22</v>
      </c>
      <c r="B32" s="8" t="inlineStr">
        <is>
          <t>50WC10-10-0.75</t>
        </is>
      </c>
      <c r="C32" s="8" t="n">
        <v>0.75</v>
      </c>
      <c r="D32" s="8" t="n">
        <v>50</v>
      </c>
      <c r="E32" s="8" t="n">
        <v>21</v>
      </c>
      <c r="F32" s="8" t="n">
        <v>14</v>
      </c>
      <c r="G32" s="9" t="n">
        <v>2600000</v>
      </c>
      <c r="H32" s="10" t="n">
        <v>3100000</v>
      </c>
      <c r="I32" s="19" t="n">
        <v>4700000</v>
      </c>
      <c r="J32" s="8" t="n"/>
      <c r="K32" s="12" t="n">
        <v>2520000</v>
      </c>
      <c r="L32" s="8" t="n"/>
      <c r="M32" s="39" t="inlineStr">
        <is>
          <t>Bơm cắt rác WC</t>
        </is>
      </c>
      <c r="R32" s="44" t="inlineStr">
        <is>
          <t>Không có trong catalogue đã duyệt – giữ nguyên thông số cũ</t>
        </is>
      </c>
    </row>
    <row r="33" ht="18" customHeight="1" s="1">
      <c r="A33" s="14" t="n">
        <v>23</v>
      </c>
      <c r="B33" s="14" t="inlineStr">
        <is>
          <t>50WC12-10-1.1</t>
        </is>
      </c>
      <c r="C33" s="14" t="n">
        <v>1.1</v>
      </c>
      <c r="D33" s="14" t="n">
        <v>50</v>
      </c>
      <c r="E33" s="14" t="n">
        <v>25</v>
      </c>
      <c r="F33" s="14" t="n">
        <v>15</v>
      </c>
      <c r="G33" s="9" t="n">
        <v>3000000</v>
      </c>
      <c r="H33" s="10" t="n">
        <v>3500000</v>
      </c>
      <c r="I33" s="19" t="n">
        <v>5300000</v>
      </c>
      <c r="J33" s="14" t="n"/>
      <c r="K33" s="15" t="n">
        <v>2835000</v>
      </c>
      <c r="L33" s="14" t="n"/>
      <c r="M33" s="46" t="n"/>
      <c r="R33" s="44" t="inlineStr">
        <is>
          <t>Không có trong catalogue đã duyệt – giữ nguyên thông số cũ</t>
        </is>
      </c>
    </row>
    <row r="34" ht="18" customHeight="1" s="1">
      <c r="A34" s="8" t="n">
        <v>24</v>
      </c>
      <c r="B34" s="8" t="inlineStr">
        <is>
          <t>50WC15-15-1.5 (1 pha)</t>
        </is>
      </c>
      <c r="C34" s="8" t="n">
        <v>1.5</v>
      </c>
      <c r="D34" s="8" t="n">
        <v>50</v>
      </c>
      <c r="E34" s="8" t="n">
        <v>30</v>
      </c>
      <c r="F34" s="8" t="n">
        <v>18</v>
      </c>
      <c r="G34" s="9" t="n">
        <v>4000000</v>
      </c>
      <c r="H34" s="10" t="n">
        <v>4700000</v>
      </c>
      <c r="I34" s="19" t="n">
        <v>9200000</v>
      </c>
      <c r="J34" s="20" t="n">
        <v>2800000</v>
      </c>
      <c r="K34" s="12" t="n">
        <v>3780000</v>
      </c>
      <c r="L34" s="8" t="n"/>
      <c r="M34" s="46" t="n"/>
      <c r="N34" s="8" t="inlineStr">
        <is>
          <t>Có</t>
        </is>
      </c>
      <c r="O34" s="8" t="inlineStr">
        <is>
          <t>Có</t>
        </is>
      </c>
      <c r="P34" s="8" t="inlineStr">
        <is>
          <t>Có</t>
        </is>
      </c>
      <c r="Q34" s="8" t="inlineStr">
        <is>
          <t>PEROTAC - Bơm cắt rác WC.pdf, tr.2 (hãng khác: AQUARIS, REDPUMP)</t>
        </is>
      </c>
    </row>
    <row r="35" ht="18" customHeight="1" s="1">
      <c r="A35" s="14" t="n">
        <v>25</v>
      </c>
      <c r="B35" s="14" t="inlineStr">
        <is>
          <t>50WC15-15-1.5</t>
        </is>
      </c>
      <c r="C35" s="14" t="n">
        <v>1.5</v>
      </c>
      <c r="D35" s="14" t="n">
        <v>50</v>
      </c>
      <c r="E35" s="14" t="n">
        <v>30</v>
      </c>
      <c r="F35" s="14" t="n">
        <v>18</v>
      </c>
      <c r="G35" s="9" t="n">
        <v>4000000</v>
      </c>
      <c r="H35" s="10" t="n">
        <v>4700000</v>
      </c>
      <c r="I35" s="19" t="n">
        <v>9200000</v>
      </c>
      <c r="J35" s="20" t="n">
        <v>2800000</v>
      </c>
      <c r="K35" s="15" t="n">
        <v>3780000</v>
      </c>
      <c r="L35" s="14" t="n"/>
      <c r="M35" s="46" t="n"/>
      <c r="N35" s="14" t="inlineStr">
        <is>
          <t>Có</t>
        </is>
      </c>
      <c r="O35" s="14" t="inlineStr">
        <is>
          <t>Có</t>
        </is>
      </c>
      <c r="P35" s="14" t="inlineStr">
        <is>
          <t>Có</t>
        </is>
      </c>
      <c r="Q35" s="14" t="inlineStr">
        <is>
          <t>PEROTAC - Bơm cắt rác WC.pdf, tr.2 (hãng khác: AQUARIS, REDPUMP)</t>
        </is>
      </c>
    </row>
    <row r="36" ht="18" customHeight="1" s="1">
      <c r="A36" s="8" t="n">
        <v>26</v>
      </c>
      <c r="B36" s="8" t="inlineStr">
        <is>
          <t>50WC9-22-2.2 (1 pha)</t>
        </is>
      </c>
      <c r="C36" s="8" t="n">
        <v>2.2</v>
      </c>
      <c r="D36" s="8" t="n">
        <v>50</v>
      </c>
      <c r="E36" s="8" t="n">
        <v>35</v>
      </c>
      <c r="F36" s="8" t="n">
        <v>24</v>
      </c>
      <c r="G36" s="9" t="n">
        <v>4500000</v>
      </c>
      <c r="H36" s="10" t="n">
        <v>5300000</v>
      </c>
      <c r="I36" s="19" t="n">
        <v>10400000</v>
      </c>
      <c r="J36" s="20" t="n">
        <v>3700000</v>
      </c>
      <c r="K36" s="12" t="n">
        <v>4252500</v>
      </c>
      <c r="L36" s="8" t="n"/>
      <c r="M36" s="46" t="n"/>
      <c r="N36" s="8" t="inlineStr">
        <is>
          <t>Có</t>
        </is>
      </c>
      <c r="O36" s="8" t="inlineStr">
        <is>
          <t>Có</t>
        </is>
      </c>
      <c r="P36" s="8" t="inlineStr">
        <is>
          <t>Có</t>
        </is>
      </c>
      <c r="Q36" s="8" t="inlineStr">
        <is>
          <t>PEROTAC - Bơm cắt rác WC.pdf, tr.2 (hãng khác: AQUARIS, REDPUMP)</t>
        </is>
      </c>
    </row>
    <row r="37" ht="18" customHeight="1" s="1">
      <c r="A37" s="14" t="n">
        <v>27</v>
      </c>
      <c r="B37" s="14" t="inlineStr">
        <is>
          <t>50WC9-22-2.2</t>
        </is>
      </c>
      <c r="C37" s="14" t="n">
        <v>2.2</v>
      </c>
      <c r="D37" s="14" t="n">
        <v>50</v>
      </c>
      <c r="E37" s="14" t="n">
        <v>35</v>
      </c>
      <c r="F37" s="14" t="n">
        <v>24</v>
      </c>
      <c r="G37" s="9" t="n">
        <v>4500000</v>
      </c>
      <c r="H37" s="10" t="n">
        <v>5300000</v>
      </c>
      <c r="I37" s="19" t="n">
        <v>10400000</v>
      </c>
      <c r="J37" s="20" t="n">
        <v>3700000</v>
      </c>
      <c r="K37" s="15" t="n">
        <v>4252500</v>
      </c>
      <c r="L37" s="14" t="n"/>
      <c r="M37" s="46" t="n"/>
      <c r="N37" s="14" t="inlineStr">
        <is>
          <t>Có</t>
        </is>
      </c>
      <c r="O37" s="14" t="inlineStr">
        <is>
          <t>Có</t>
        </is>
      </c>
      <c r="P37" s="14" t="inlineStr">
        <is>
          <t>Có</t>
        </is>
      </c>
      <c r="Q37" s="14" t="inlineStr">
        <is>
          <t>PEROTAC - Bơm cắt rác WC.pdf, tr.2 (hãng khác: AQUARIS, REDPUMP)</t>
        </is>
      </c>
    </row>
    <row r="38" ht="18" customHeight="1" s="1">
      <c r="A38" s="8" t="n">
        <v>28</v>
      </c>
      <c r="B38" s="8" t="inlineStr">
        <is>
          <t>50WC15-25-3</t>
        </is>
      </c>
      <c r="C38" s="8" t="n">
        <v>3</v>
      </c>
      <c r="D38" s="8" t="n">
        <v>50</v>
      </c>
      <c r="E38" s="8" t="n">
        <v>35</v>
      </c>
      <c r="F38" s="43" t="n">
        <v>30</v>
      </c>
      <c r="G38" s="9" t="n">
        <v>5900000</v>
      </c>
      <c r="H38" s="10" t="n">
        <v>7000000</v>
      </c>
      <c r="I38" s="19" t="n">
        <v>13200000</v>
      </c>
      <c r="J38" s="20" t="n">
        <v>4350000</v>
      </c>
      <c r="K38" s="12" t="n">
        <v>5670000</v>
      </c>
      <c r="L38" s="8" t="n"/>
      <c r="M38" s="46" t="n"/>
      <c r="N38" s="8" t="inlineStr">
        <is>
          <t>Có</t>
        </is>
      </c>
      <c r="O38" s="8" t="inlineStr">
        <is>
          <t>Có</t>
        </is>
      </c>
      <c r="P38" s="8" t="inlineStr">
        <is>
          <t>Có</t>
        </is>
      </c>
      <c r="Q38" s="8" t="inlineStr">
        <is>
          <t>PEROTAC - Bơm cắt rác WC.pdf, tr.2 (hãng khác: AQUARIS, REDPUMP)</t>
        </is>
      </c>
    </row>
    <row r="39" ht="18" customHeight="1" s="1">
      <c r="A39" s="14" t="n">
        <v>29</v>
      </c>
      <c r="B39" s="14" t="inlineStr">
        <is>
          <t>50WC20-25-4</t>
        </is>
      </c>
      <c r="C39" s="14" t="n">
        <v>4</v>
      </c>
      <c r="D39" s="14" t="n">
        <v>50</v>
      </c>
      <c r="E39" s="14" t="n">
        <v>45</v>
      </c>
      <c r="F39" s="14" t="n">
        <v>31</v>
      </c>
      <c r="G39" s="9" t="n">
        <v>6900000</v>
      </c>
      <c r="H39" s="10" t="n">
        <v>8200000</v>
      </c>
      <c r="I39" s="19" t="n">
        <v>16400000</v>
      </c>
      <c r="J39" s="20" t="n">
        <v>4900000</v>
      </c>
      <c r="K39" s="15" t="n">
        <v>6615000</v>
      </c>
      <c r="L39" s="14" t="n"/>
      <c r="M39" s="46" t="n"/>
      <c r="N39" s="14" t="inlineStr">
        <is>
          <t>Có</t>
        </is>
      </c>
      <c r="O39" s="14" t="inlineStr">
        <is>
          <t>Có</t>
        </is>
      </c>
      <c r="P39" s="14" t="inlineStr">
        <is>
          <t>Có</t>
        </is>
      </c>
      <c r="Q39" s="14" t="inlineStr">
        <is>
          <t>PEROTAC - Bơm cắt rác WC.pdf, tr.2 (hãng khác: AQUARIS, REDPUMP)</t>
        </is>
      </c>
    </row>
    <row r="40" ht="18" customHeight="1" s="1">
      <c r="A40" s="8" t="n">
        <v>30</v>
      </c>
      <c r="B40" s="8" t="inlineStr">
        <is>
          <t>50WC25-28-5.5</t>
        </is>
      </c>
      <c r="C40" s="8" t="n">
        <v>5.5</v>
      </c>
      <c r="D40" s="8" t="n">
        <v>50</v>
      </c>
      <c r="E40" s="8" t="n">
        <v>45</v>
      </c>
      <c r="F40" s="8" t="n">
        <v>38</v>
      </c>
      <c r="G40" s="9" t="n">
        <v>8900000</v>
      </c>
      <c r="H40" s="10" t="n">
        <v>10500000</v>
      </c>
      <c r="I40" s="19" t="n">
        <v>20600000</v>
      </c>
      <c r="J40" s="20" t="n">
        <v>6000000</v>
      </c>
      <c r="K40" s="12" t="n">
        <v>8505000</v>
      </c>
      <c r="L40" s="8" t="n"/>
      <c r="M40" s="46" t="n"/>
      <c r="N40" s="8" t="inlineStr">
        <is>
          <t>Có</t>
        </is>
      </c>
      <c r="O40" s="8" t="inlineStr">
        <is>
          <t>Có</t>
        </is>
      </c>
      <c r="P40" s="8" t="inlineStr">
        <is>
          <t>Có</t>
        </is>
      </c>
      <c r="Q40" s="8" t="inlineStr">
        <is>
          <t>PEROTAC - Bơm cắt rác WC.pdf, tr.2 (hãng khác: AQUARIS, REDPUMP)</t>
        </is>
      </c>
    </row>
    <row r="41" ht="18" customHeight="1" s="1">
      <c r="A41" s="14" t="n">
        <v>31</v>
      </c>
      <c r="B41" s="14" t="inlineStr">
        <is>
          <t>50WC15-40-7.5</t>
        </is>
      </c>
      <c r="C41" s="14" t="n">
        <v>7.5</v>
      </c>
      <c r="D41" s="14" t="n">
        <v>50</v>
      </c>
      <c r="E41" s="14" t="n">
        <v>50</v>
      </c>
      <c r="F41" s="14" t="n">
        <v>45</v>
      </c>
      <c r="G41" s="9" t="n">
        <v>10900000</v>
      </c>
      <c r="H41" s="10" t="n">
        <v>12900000</v>
      </c>
      <c r="I41" s="19" t="n">
        <v>25200000</v>
      </c>
      <c r="J41" s="20" t="n">
        <v>7300000</v>
      </c>
      <c r="K41" s="15" t="n">
        <v>10395000</v>
      </c>
      <c r="L41" s="14" t="n"/>
      <c r="M41" s="46" t="n"/>
      <c r="N41" s="14" t="inlineStr">
        <is>
          <t>Có</t>
        </is>
      </c>
      <c r="O41" s="14" t="inlineStr">
        <is>
          <t>Có</t>
        </is>
      </c>
      <c r="P41" s="14" t="inlineStr">
        <is>
          <t>Có</t>
        </is>
      </c>
      <c r="Q41" s="14" t="inlineStr">
        <is>
          <t>PEROTAC - Bơm cắt rác WC.pdf, tr.2 (hãng khác: AQUARIS, REDPUMP)</t>
        </is>
      </c>
    </row>
    <row r="42" ht="18" customHeight="1" s="1">
      <c r="A42" s="8" t="n">
        <v>32</v>
      </c>
      <c r="B42" s="8" t="inlineStr">
        <is>
          <t>65WC25-10-1.5 (1 pha)</t>
        </is>
      </c>
      <c r="C42" s="8" t="n">
        <v>1.5</v>
      </c>
      <c r="D42" s="8" t="n">
        <v>65</v>
      </c>
      <c r="E42" s="8" t="n">
        <v>35</v>
      </c>
      <c r="F42" s="8" t="n">
        <v>15</v>
      </c>
      <c r="G42" s="9" t="n">
        <v>4000000</v>
      </c>
      <c r="H42" s="10" t="n">
        <v>4700000</v>
      </c>
      <c r="I42" s="19" t="n">
        <v>9200000</v>
      </c>
      <c r="J42" s="20" t="n">
        <v>2800000</v>
      </c>
      <c r="K42" s="12" t="n">
        <v>3780000</v>
      </c>
      <c r="L42" s="8" t="n"/>
      <c r="M42" s="46" t="n"/>
      <c r="N42" s="8" t="inlineStr">
        <is>
          <t>Có</t>
        </is>
      </c>
      <c r="O42" s="8" t="inlineStr">
        <is>
          <t>Có</t>
        </is>
      </c>
      <c r="P42" s="8" t="inlineStr">
        <is>
          <t>Có</t>
        </is>
      </c>
      <c r="Q42" s="8" t="inlineStr">
        <is>
          <t>PEROTAC - Bơm cắt rác WC.pdf, tr.3 (hãng khác: AQUARIS, REDPUMP)</t>
        </is>
      </c>
    </row>
    <row r="43" ht="18" customHeight="1" s="1">
      <c r="A43" s="14" t="n">
        <v>33</v>
      </c>
      <c r="B43" s="14" t="inlineStr">
        <is>
          <t>65WC25-10-1.5</t>
        </is>
      </c>
      <c r="C43" s="14" t="n">
        <v>1.5</v>
      </c>
      <c r="D43" s="14" t="n">
        <v>65</v>
      </c>
      <c r="E43" s="14" t="n">
        <v>35</v>
      </c>
      <c r="F43" s="14" t="n">
        <v>15</v>
      </c>
      <c r="G43" s="9" t="n">
        <v>4000000</v>
      </c>
      <c r="H43" s="10" t="n">
        <v>4700000</v>
      </c>
      <c r="I43" s="19" t="n">
        <v>9200000</v>
      </c>
      <c r="J43" s="20" t="n">
        <v>2800000</v>
      </c>
      <c r="K43" s="15" t="n">
        <v>3780000</v>
      </c>
      <c r="L43" s="14" t="n"/>
      <c r="M43" s="46" t="n"/>
      <c r="N43" s="14" t="inlineStr">
        <is>
          <t>Có</t>
        </is>
      </c>
      <c r="O43" s="14" t="inlineStr">
        <is>
          <t>Có</t>
        </is>
      </c>
      <c r="P43" s="14" t="inlineStr">
        <is>
          <t>Có</t>
        </is>
      </c>
      <c r="Q43" s="14" t="inlineStr">
        <is>
          <t>PEROTAC - Bơm cắt rác WC.pdf, tr.3 (hãng khác: AQUARIS, REDPUMP)</t>
        </is>
      </c>
    </row>
    <row r="44" ht="18" customHeight="1" s="1">
      <c r="A44" s="8" t="n">
        <v>34</v>
      </c>
      <c r="B44" s="8" t="inlineStr">
        <is>
          <t>65WC25-15-2.2 (1 pha)</t>
        </is>
      </c>
      <c r="C44" s="8" t="n">
        <v>2.2</v>
      </c>
      <c r="D44" s="8" t="n">
        <v>65</v>
      </c>
      <c r="E44" s="8" t="n">
        <v>50</v>
      </c>
      <c r="F44" s="8" t="n">
        <v>20</v>
      </c>
      <c r="G44" s="9" t="n">
        <v>4500000</v>
      </c>
      <c r="H44" s="10" t="n">
        <v>5300000</v>
      </c>
      <c r="I44" s="19" t="n">
        <v>10400000</v>
      </c>
      <c r="J44" s="20" t="n">
        <v>3700000</v>
      </c>
      <c r="K44" s="12" t="n">
        <v>4252500</v>
      </c>
      <c r="L44" s="8" t="n"/>
      <c r="M44" s="46" t="n"/>
      <c r="N44" s="8" t="inlineStr">
        <is>
          <t>Có</t>
        </is>
      </c>
      <c r="O44" s="8" t="inlineStr">
        <is>
          <t>Có</t>
        </is>
      </c>
      <c r="P44" s="8" t="inlineStr">
        <is>
          <t>Có</t>
        </is>
      </c>
      <c r="Q44" s="8" t="inlineStr">
        <is>
          <t>PEROTAC - Bơm cắt rác WC.pdf, tr.3 (hãng khác: AQUARIS, REDPUMP)</t>
        </is>
      </c>
    </row>
    <row r="45" ht="18" customHeight="1" s="1">
      <c r="A45" s="14" t="n">
        <v>35</v>
      </c>
      <c r="B45" s="14" t="inlineStr">
        <is>
          <t>65WC25-15-2.2</t>
        </is>
      </c>
      <c r="C45" s="14" t="n">
        <v>2.2</v>
      </c>
      <c r="D45" s="14" t="n">
        <v>65</v>
      </c>
      <c r="E45" s="14" t="n">
        <v>50</v>
      </c>
      <c r="F45" s="14" t="n">
        <v>20</v>
      </c>
      <c r="G45" s="9" t="n">
        <v>4500000</v>
      </c>
      <c r="H45" s="10" t="n">
        <v>5300000</v>
      </c>
      <c r="I45" s="19" t="n">
        <v>10400000</v>
      </c>
      <c r="J45" s="20" t="n">
        <v>3700000</v>
      </c>
      <c r="K45" s="15" t="n">
        <v>4252500</v>
      </c>
      <c r="L45" s="14" t="n"/>
      <c r="M45" s="46" t="n"/>
      <c r="N45" s="14" t="inlineStr">
        <is>
          <t>Có</t>
        </is>
      </c>
      <c r="O45" s="14" t="inlineStr">
        <is>
          <t>Có</t>
        </is>
      </c>
      <c r="P45" s="14" t="inlineStr">
        <is>
          <t>Có</t>
        </is>
      </c>
      <c r="Q45" s="14" t="inlineStr">
        <is>
          <t>PEROTAC - Bơm cắt rác WC.pdf, tr.3 (hãng khác: AQUARIS, REDPUMP)</t>
        </is>
      </c>
    </row>
    <row r="46" ht="18" customHeight="1" s="1">
      <c r="A46" s="8" t="n">
        <v>36</v>
      </c>
      <c r="B46" s="8" t="inlineStr">
        <is>
          <t>65WC35-15-3</t>
        </is>
      </c>
      <c r="C46" s="8" t="n">
        <v>3</v>
      </c>
      <c r="D46" s="8" t="n">
        <v>65</v>
      </c>
      <c r="E46" s="8" t="n">
        <v>55</v>
      </c>
      <c r="F46" s="8" t="n">
        <v>24</v>
      </c>
      <c r="G46" s="9" t="n">
        <v>5900000</v>
      </c>
      <c r="H46" s="10" t="n">
        <v>7000000</v>
      </c>
      <c r="I46" s="19" t="n">
        <v>13200000</v>
      </c>
      <c r="J46" s="20" t="n">
        <v>4350000</v>
      </c>
      <c r="K46" s="12" t="n">
        <v>5670000</v>
      </c>
      <c r="L46" s="8" t="n"/>
      <c r="M46" s="46" t="n"/>
      <c r="N46" s="8" t="inlineStr">
        <is>
          <t>Có</t>
        </is>
      </c>
      <c r="O46" s="8" t="inlineStr">
        <is>
          <t>Có</t>
        </is>
      </c>
      <c r="P46" s="8" t="inlineStr">
        <is>
          <t>Có</t>
        </is>
      </c>
      <c r="Q46" s="8" t="inlineStr">
        <is>
          <t>PEROTAC - Bơm cắt rác WC.pdf, tr.3 (hãng khác: AQUARIS, REDPUMP)</t>
        </is>
      </c>
    </row>
    <row r="47" ht="18" customHeight="1" s="1">
      <c r="A47" s="14" t="n">
        <v>37</v>
      </c>
      <c r="B47" s="14" t="inlineStr">
        <is>
          <t>65WC35-20-4</t>
        </is>
      </c>
      <c r="C47" s="14" t="n">
        <v>4</v>
      </c>
      <c r="D47" s="14" t="n">
        <v>65</v>
      </c>
      <c r="E47" s="14" t="n">
        <v>55</v>
      </c>
      <c r="F47" s="14" t="n">
        <v>29</v>
      </c>
      <c r="G47" s="9" t="n">
        <v>6900000</v>
      </c>
      <c r="H47" s="10" t="n">
        <v>8200000</v>
      </c>
      <c r="I47" s="19" t="n">
        <v>16400000</v>
      </c>
      <c r="J47" s="20" t="n">
        <v>4900000</v>
      </c>
      <c r="K47" s="15" t="n">
        <v>6615000</v>
      </c>
      <c r="L47" s="14" t="n"/>
      <c r="M47" s="46" t="n"/>
      <c r="N47" s="14" t="inlineStr">
        <is>
          <t>Có</t>
        </is>
      </c>
      <c r="O47" s="14" t="inlineStr">
        <is>
          <t>Có</t>
        </is>
      </c>
      <c r="P47" s="14" t="inlineStr">
        <is>
          <t>Có</t>
        </is>
      </c>
      <c r="Q47" s="14" t="inlineStr">
        <is>
          <t>PEROTAC - Bơm cắt rác WC.pdf, tr.3 (hãng khác: AQUARIS, REDPUMP)</t>
        </is>
      </c>
    </row>
    <row r="48" ht="18" customHeight="1" s="1">
      <c r="A48" s="8" t="n">
        <v>38</v>
      </c>
      <c r="B48" s="8" t="inlineStr">
        <is>
          <t>65WC25-35-5.5</t>
        </is>
      </c>
      <c r="C48" s="8" t="n">
        <v>5.5</v>
      </c>
      <c r="D48" s="8" t="n">
        <v>65</v>
      </c>
      <c r="E48" s="8" t="n">
        <v>60</v>
      </c>
      <c r="F48" s="8" t="n">
        <v>40</v>
      </c>
      <c r="G48" s="9" t="n">
        <v>8900000</v>
      </c>
      <c r="H48" s="10" t="n">
        <v>10500000</v>
      </c>
      <c r="I48" s="19" t="n">
        <v>20600000</v>
      </c>
      <c r="J48" s="20" t="n">
        <v>6400000</v>
      </c>
      <c r="K48" s="12" t="n">
        <v>8505000</v>
      </c>
      <c r="L48" s="8" t="n"/>
      <c r="M48" s="46" t="n"/>
      <c r="N48" s="8" t="inlineStr">
        <is>
          <t>Có</t>
        </is>
      </c>
      <c r="O48" s="8" t="inlineStr">
        <is>
          <t>Có</t>
        </is>
      </c>
      <c r="P48" s="8" t="inlineStr">
        <is>
          <t>Có</t>
        </is>
      </c>
      <c r="Q48" s="8" t="inlineStr">
        <is>
          <t>PEROTAC - Bơm cắt rác WC.pdf, tr.3 (hãng khác: AQUARIS, REDPUMP)</t>
        </is>
      </c>
    </row>
    <row r="49" ht="18" customHeight="1" s="1">
      <c r="A49" s="14" t="n">
        <v>39</v>
      </c>
      <c r="B49" s="14" t="inlineStr">
        <is>
          <t>80WC45-9-2.2 (1 pha)</t>
        </is>
      </c>
      <c r="C49" s="14" t="n">
        <v>2.2</v>
      </c>
      <c r="D49" s="14" t="n">
        <v>80</v>
      </c>
      <c r="E49" s="14" t="n">
        <v>60</v>
      </c>
      <c r="F49" s="14" t="n">
        <v>18</v>
      </c>
      <c r="G49" s="9" t="n">
        <v>4500000</v>
      </c>
      <c r="H49" s="10" t="n">
        <v>5300000</v>
      </c>
      <c r="I49" s="19" t="n">
        <v>10400000</v>
      </c>
      <c r="J49" s="20" t="n">
        <v>3700000</v>
      </c>
      <c r="K49" s="15" t="n">
        <v>4252500</v>
      </c>
      <c r="L49" s="14" t="n"/>
      <c r="M49" s="46" t="n"/>
      <c r="N49" s="14" t="inlineStr">
        <is>
          <t>Có</t>
        </is>
      </c>
      <c r="O49" s="14" t="inlineStr">
        <is>
          <t>Có</t>
        </is>
      </c>
      <c r="P49" s="14" t="inlineStr">
        <is>
          <t>Có</t>
        </is>
      </c>
      <c r="Q49" s="14" t="inlineStr">
        <is>
          <t>PEROTAC - Bơm cắt rác WC.pdf, tr.4 (hãng khác: AQUARIS, REDPUMP)</t>
        </is>
      </c>
    </row>
    <row r="50" ht="18" customHeight="1" s="1">
      <c r="A50" s="8" t="n">
        <v>40</v>
      </c>
      <c r="B50" s="8" t="inlineStr">
        <is>
          <t>80WC45-9-2.2</t>
        </is>
      </c>
      <c r="C50" s="8" t="n">
        <v>2.2</v>
      </c>
      <c r="D50" s="8" t="n">
        <v>80</v>
      </c>
      <c r="E50" s="8" t="n">
        <v>60</v>
      </c>
      <c r="F50" s="8" t="n">
        <v>18</v>
      </c>
      <c r="G50" s="9" t="n">
        <v>4500000</v>
      </c>
      <c r="H50" s="10" t="n">
        <v>5300000</v>
      </c>
      <c r="I50" s="19" t="n">
        <v>10400000</v>
      </c>
      <c r="J50" s="20" t="n">
        <v>3700000</v>
      </c>
      <c r="K50" s="12" t="n">
        <v>4252500</v>
      </c>
      <c r="L50" s="8" t="n"/>
      <c r="M50" s="46" t="n"/>
      <c r="N50" s="8" t="inlineStr">
        <is>
          <t>Có</t>
        </is>
      </c>
      <c r="O50" s="8" t="inlineStr">
        <is>
          <t>Có</t>
        </is>
      </c>
      <c r="P50" s="8" t="inlineStr">
        <is>
          <t>Có</t>
        </is>
      </c>
      <c r="Q50" s="8" t="inlineStr">
        <is>
          <t>PEROTAC - Bơm cắt rác WC.pdf, tr.4 (hãng khác: AQUARIS, REDPUMP)</t>
        </is>
      </c>
    </row>
    <row r="51" ht="18" customHeight="1" s="1">
      <c r="A51" s="14" t="n">
        <v>41</v>
      </c>
      <c r="B51" s="14" t="inlineStr">
        <is>
          <t>80WC45-12-3</t>
        </is>
      </c>
      <c r="C51" s="14" t="n">
        <v>3</v>
      </c>
      <c r="D51" s="14" t="n">
        <v>80</v>
      </c>
      <c r="E51" s="14" t="n">
        <v>60</v>
      </c>
      <c r="F51" s="14" t="n">
        <v>23</v>
      </c>
      <c r="G51" s="9" t="n">
        <v>5900000</v>
      </c>
      <c r="H51" s="10" t="n">
        <v>7000000</v>
      </c>
      <c r="I51" s="19" t="n">
        <v>13200000</v>
      </c>
      <c r="J51" s="20" t="n">
        <v>4350000</v>
      </c>
      <c r="K51" s="15" t="n">
        <v>5670000</v>
      </c>
      <c r="L51" s="14" t="n"/>
      <c r="M51" s="46" t="n"/>
      <c r="N51" s="14" t="inlineStr">
        <is>
          <t>Có</t>
        </is>
      </c>
      <c r="O51" s="14" t="inlineStr">
        <is>
          <t>Có</t>
        </is>
      </c>
      <c r="P51" s="14" t="inlineStr">
        <is>
          <t>Có</t>
        </is>
      </c>
      <c r="Q51" s="14" t="inlineStr">
        <is>
          <t>PEROTAC - Bơm cắt rác WC.pdf, tr.4 (hãng khác: AQUARIS, REDPUMP)</t>
        </is>
      </c>
    </row>
    <row r="52" ht="18" customHeight="1" s="1">
      <c r="A52" s="8" t="n">
        <v>42</v>
      </c>
      <c r="B52" s="8" t="inlineStr">
        <is>
          <t>80WC50-15-4</t>
        </is>
      </c>
      <c r="C52" s="8" t="n">
        <v>4</v>
      </c>
      <c r="D52" s="8" t="n">
        <v>80</v>
      </c>
      <c r="E52" s="43" t="n">
        <v>70</v>
      </c>
      <c r="F52" s="8" t="n">
        <v>29</v>
      </c>
      <c r="G52" s="9" t="n">
        <v>6900000</v>
      </c>
      <c r="H52" s="10" t="n">
        <v>8200000</v>
      </c>
      <c r="I52" s="19" t="n">
        <v>16400000</v>
      </c>
      <c r="J52" s="20" t="n">
        <v>4900000</v>
      </c>
      <c r="K52" s="12" t="n">
        <v>6615000</v>
      </c>
      <c r="L52" s="8" t="n"/>
      <c r="M52" s="46" t="n"/>
      <c r="N52" s="8" t="inlineStr">
        <is>
          <t>Có</t>
        </is>
      </c>
      <c r="O52" s="8" t="inlineStr">
        <is>
          <t>Có</t>
        </is>
      </c>
      <c r="P52" s="8" t="inlineStr">
        <is>
          <t>Có</t>
        </is>
      </c>
      <c r="Q52" s="8" t="inlineStr">
        <is>
          <t>PEROTAC - Bơm cắt rác WC.pdf, tr.4 (hãng khác: AQUARIS, REDPUMP)</t>
        </is>
      </c>
    </row>
    <row r="53" ht="18" customHeight="1" s="1">
      <c r="A53" s="14" t="n">
        <v>43</v>
      </c>
      <c r="B53" s="14" t="inlineStr">
        <is>
          <t>80WC45-20-5.5</t>
        </is>
      </c>
      <c r="C53" s="14" t="n">
        <v>5.5</v>
      </c>
      <c r="D53" s="14" t="n">
        <v>80</v>
      </c>
      <c r="E53" s="14" t="n">
        <v>90</v>
      </c>
      <c r="F53" s="14" t="n">
        <v>32</v>
      </c>
      <c r="G53" s="9" t="n">
        <v>8900000</v>
      </c>
      <c r="H53" s="10" t="n">
        <v>10500000</v>
      </c>
      <c r="I53" s="19" t="n">
        <v>20600000</v>
      </c>
      <c r="J53" s="20" t="n">
        <v>6400000</v>
      </c>
      <c r="K53" s="15" t="n">
        <v>8505000</v>
      </c>
      <c r="L53" s="14" t="n"/>
      <c r="M53" s="46" t="n"/>
      <c r="N53" s="14" t="inlineStr">
        <is>
          <t>Có</t>
        </is>
      </c>
      <c r="O53" s="14" t="inlineStr">
        <is>
          <t>Có</t>
        </is>
      </c>
      <c r="P53" s="14" t="inlineStr">
        <is>
          <t>Có</t>
        </is>
      </c>
      <c r="Q53" s="14" t="inlineStr">
        <is>
          <t>PEROTAC - Bơm cắt rác WC.pdf, tr.4 (hãng khác: AQUARIS, REDPUMP)</t>
        </is>
      </c>
    </row>
    <row r="54" ht="18" customHeight="1" s="1">
      <c r="A54" s="8" t="n">
        <v>44</v>
      </c>
      <c r="B54" s="8" t="inlineStr">
        <is>
          <t>80WC45-25-7.5</t>
        </is>
      </c>
      <c r="C54" s="8" t="n">
        <v>7.5</v>
      </c>
      <c r="D54" s="8" t="n">
        <v>80</v>
      </c>
      <c r="E54" s="8" t="n">
        <v>120</v>
      </c>
      <c r="F54" s="8" t="n">
        <v>35</v>
      </c>
      <c r="G54" s="9" t="n">
        <v>10900000</v>
      </c>
      <c r="H54" s="10" t="n">
        <v>12900000</v>
      </c>
      <c r="I54" s="19" t="n">
        <v>25200000</v>
      </c>
      <c r="J54" s="20" t="n">
        <v>7650000</v>
      </c>
      <c r="K54" s="12" t="n">
        <v>10395000</v>
      </c>
      <c r="L54" s="8" t="n"/>
      <c r="M54" s="46" t="n"/>
      <c r="N54" s="8" t="inlineStr">
        <is>
          <t>Có</t>
        </is>
      </c>
      <c r="O54" s="8" t="inlineStr">
        <is>
          <t>Có</t>
        </is>
      </c>
      <c r="P54" s="8" t="inlineStr">
        <is>
          <t>Có</t>
        </is>
      </c>
      <c r="Q54" s="8" t="inlineStr">
        <is>
          <t>PEROTAC - Bơm cắt rác WC.pdf, tr.4 (hãng khác: AQUARIS, REDPUMP)</t>
        </is>
      </c>
    </row>
    <row r="55" ht="18" customHeight="1" s="1">
      <c r="A55" s="14" t="n">
        <v>45</v>
      </c>
      <c r="B55" s="14" t="inlineStr">
        <is>
          <t>80WC45-30-9.5</t>
        </is>
      </c>
      <c r="C55" s="14" t="n">
        <v>9.5</v>
      </c>
      <c r="D55" s="14" t="n">
        <v>80</v>
      </c>
      <c r="E55" s="14" t="n">
        <v>120</v>
      </c>
      <c r="F55" s="14" t="n">
        <v>40</v>
      </c>
      <c r="G55" s="9" t="n">
        <v>15500000</v>
      </c>
      <c r="H55" s="10" t="n">
        <v>18000000</v>
      </c>
      <c r="I55" s="19" t="n">
        <v>35500000</v>
      </c>
      <c r="J55" s="15" t="n">
        <v>7650000</v>
      </c>
      <c r="K55" s="14" t="n"/>
      <c r="L55" s="14" t="n"/>
      <c r="M55" s="46" t="n"/>
      <c r="N55" s="14" t="inlineStr">
        <is>
          <t>Có</t>
        </is>
      </c>
      <c r="O55" s="14" t="inlineStr">
        <is>
          <t>Có</t>
        </is>
      </c>
      <c r="P55" s="14" t="inlineStr">
        <is>
          <t>Có</t>
        </is>
      </c>
      <c r="Q55" s="14" t="inlineStr">
        <is>
          <t>PEROTAC - Bơm cắt rác WC.pdf, tr.4 (hãng khác: AQUARIS, REDPUMP)</t>
        </is>
      </c>
    </row>
    <row r="56" ht="18" customHeight="1" s="1">
      <c r="A56" s="8" t="n">
        <v>46</v>
      </c>
      <c r="B56" s="8" t="inlineStr">
        <is>
          <t>100WC65-12-4</t>
        </is>
      </c>
      <c r="C56" s="8" t="n">
        <v>4</v>
      </c>
      <c r="D56" s="8" t="n">
        <v>100</v>
      </c>
      <c r="E56" s="8" t="n">
        <v>90</v>
      </c>
      <c r="F56" s="8" t="n">
        <v>28</v>
      </c>
      <c r="G56" s="9" t="n">
        <v>6900000</v>
      </c>
      <c r="H56" s="10" t="n">
        <v>8200000</v>
      </c>
      <c r="I56" s="19" t="n">
        <v>16400000</v>
      </c>
      <c r="J56" s="20" t="n">
        <v>4900000</v>
      </c>
      <c r="K56" s="12" t="n">
        <v>6615000</v>
      </c>
      <c r="L56" s="8" t="n"/>
      <c r="M56" s="46" t="n"/>
      <c r="N56" s="8" t="inlineStr">
        <is>
          <t>Có</t>
        </is>
      </c>
      <c r="O56" s="8" t="inlineStr">
        <is>
          <t>Có</t>
        </is>
      </c>
      <c r="P56" s="8" t="inlineStr">
        <is>
          <t>Có</t>
        </is>
      </c>
      <c r="Q56" s="8" t="inlineStr">
        <is>
          <t>PEROTAC - Bơm cắt rác WC.pdf, tr.5 (hãng khác: AQUARIS, REDPUMP)</t>
        </is>
      </c>
    </row>
    <row r="57" ht="18" customHeight="1" s="1">
      <c r="A57" s="14" t="n">
        <v>47</v>
      </c>
      <c r="B57" s="14" t="inlineStr">
        <is>
          <t>100WC70-15-5.5</t>
        </is>
      </c>
      <c r="C57" s="14" t="n">
        <v>5.5</v>
      </c>
      <c r="D57" s="14" t="n">
        <v>100</v>
      </c>
      <c r="E57" s="14" t="n">
        <v>120</v>
      </c>
      <c r="F57" s="14" t="n">
        <v>30</v>
      </c>
      <c r="G57" s="9" t="n">
        <v>8900000</v>
      </c>
      <c r="H57" s="10" t="n">
        <v>10500000</v>
      </c>
      <c r="I57" s="19" t="n">
        <v>20600000</v>
      </c>
      <c r="J57" s="20" t="n">
        <v>6400000</v>
      </c>
      <c r="K57" s="15" t="n">
        <v>8505000</v>
      </c>
      <c r="L57" s="14" t="n"/>
      <c r="M57" s="46" t="n"/>
      <c r="N57" s="14" t="inlineStr">
        <is>
          <t>Có</t>
        </is>
      </c>
      <c r="O57" s="14" t="inlineStr">
        <is>
          <t>Có</t>
        </is>
      </c>
      <c r="P57" s="14" t="inlineStr">
        <is>
          <t>Có</t>
        </is>
      </c>
      <c r="Q57" s="14" t="inlineStr">
        <is>
          <t>PEROTAC - Bơm cắt rác WC.pdf, tr.5 (hãng khác: AQUARIS, REDPUMP)</t>
        </is>
      </c>
    </row>
    <row r="58" ht="18" customHeight="1" s="1">
      <c r="A58" s="8" t="n">
        <v>48</v>
      </c>
      <c r="B58" s="8" t="inlineStr">
        <is>
          <t>100WC100-15-7.5</t>
        </is>
      </c>
      <c r="C58" s="8" t="n">
        <v>7.5</v>
      </c>
      <c r="D58" s="8" t="n">
        <v>100</v>
      </c>
      <c r="E58" s="8" t="n">
        <v>150</v>
      </c>
      <c r="F58" s="8" t="n">
        <v>33</v>
      </c>
      <c r="G58" s="9" t="n">
        <v>10900000</v>
      </c>
      <c r="H58" s="10" t="n">
        <v>12900000</v>
      </c>
      <c r="I58" s="19" t="n">
        <v>25200000</v>
      </c>
      <c r="J58" s="20" t="n">
        <v>7650000</v>
      </c>
      <c r="K58" s="12" t="n">
        <v>10395000</v>
      </c>
      <c r="L58" s="8" t="n"/>
      <c r="M58" s="46" t="n"/>
      <c r="N58" s="8" t="inlineStr">
        <is>
          <t>Có</t>
        </is>
      </c>
      <c r="O58" s="8" t="inlineStr">
        <is>
          <t>Có</t>
        </is>
      </c>
      <c r="P58" s="8" t="inlineStr">
        <is>
          <t>Có</t>
        </is>
      </c>
      <c r="Q58" s="8" t="inlineStr">
        <is>
          <t>PEROTAC - Bơm cắt rác WC.pdf, tr.5 (hãng khác: AQUARIS, REDPUMP)</t>
        </is>
      </c>
    </row>
    <row r="59" ht="18" customHeight="1" s="1">
      <c r="A59" s="14" t="n">
        <v>49</v>
      </c>
      <c r="B59" s="14" t="inlineStr">
        <is>
          <t>100WC120-15-9.5</t>
        </is>
      </c>
      <c r="C59" s="14" t="n">
        <v>9.5</v>
      </c>
      <c r="D59" s="14" t="n">
        <v>100</v>
      </c>
      <c r="E59" s="14" t="n">
        <v>180</v>
      </c>
      <c r="F59" s="14" t="n">
        <v>34</v>
      </c>
      <c r="G59" s="9" t="n">
        <v>15500000</v>
      </c>
      <c r="H59" s="10" t="n">
        <v>18000000</v>
      </c>
      <c r="I59" s="19" t="n">
        <v>35500000</v>
      </c>
      <c r="J59" s="15" t="n">
        <v>14500000</v>
      </c>
      <c r="K59" s="14" t="n"/>
      <c r="L59" s="14" t="n"/>
      <c r="M59" s="46" t="n"/>
      <c r="N59" s="14" t="inlineStr">
        <is>
          <t>Có</t>
        </is>
      </c>
      <c r="O59" s="14" t="inlineStr">
        <is>
          <t>Có</t>
        </is>
      </c>
      <c r="P59" s="14" t="inlineStr">
        <is>
          <t>Có</t>
        </is>
      </c>
      <c r="Q59" s="14" t="inlineStr">
        <is>
          <t>PEROTAC - Bơm cắt rác WC.pdf, tr.5 (hãng khác: AQUARIS, REDPUMP)</t>
        </is>
      </c>
    </row>
    <row r="60" ht="18" customHeight="1" s="1">
      <c r="A60" s="8" t="n">
        <v>50</v>
      </c>
      <c r="B60" s="8" t="inlineStr">
        <is>
          <t>100WC100-20-11</t>
        </is>
      </c>
      <c r="C60" s="8" t="n">
        <v>11</v>
      </c>
      <c r="D60" s="8" t="n">
        <v>100</v>
      </c>
      <c r="E60" s="8" t="n">
        <v>240</v>
      </c>
      <c r="F60" s="8" t="n">
        <v>40</v>
      </c>
      <c r="G60" s="9" t="n">
        <v>23600000</v>
      </c>
      <c r="H60" s="10" t="n">
        <v>28100000</v>
      </c>
      <c r="I60" s="19" t="n">
        <v>45900000</v>
      </c>
      <c r="J60" s="20" t="n">
        <v>14500000</v>
      </c>
      <c r="K60" s="12" t="n">
        <v>23625000</v>
      </c>
      <c r="L60" s="8" t="n"/>
      <c r="M60" s="46" t="n"/>
      <c r="N60" s="8" t="inlineStr">
        <is>
          <t>Có</t>
        </is>
      </c>
      <c r="O60" s="8" t="inlineStr">
        <is>
          <t>Có</t>
        </is>
      </c>
      <c r="P60" s="8" t="inlineStr">
        <is>
          <t>Có</t>
        </is>
      </c>
      <c r="Q60" s="8" t="inlineStr">
        <is>
          <t>PEROTAC - Bơm cắt rác WC.pdf, tr.5 (hãng khác: AQUARIS, REDPUMP)</t>
        </is>
      </c>
    </row>
    <row r="61" ht="18" customHeight="1" s="1">
      <c r="A61" s="14" t="n">
        <v>51</v>
      </c>
      <c r="B61" s="14" t="inlineStr">
        <is>
          <t>100WC100-30-15</t>
        </is>
      </c>
      <c r="C61" s="14" t="n">
        <v>15</v>
      </c>
      <c r="D61" s="14" t="n">
        <v>100</v>
      </c>
      <c r="E61" s="14" t="n">
        <v>240</v>
      </c>
      <c r="F61" s="14" t="n">
        <v>44</v>
      </c>
      <c r="G61" s="9" t="n">
        <v>24600000</v>
      </c>
      <c r="H61" s="10" t="n">
        <v>29300000</v>
      </c>
      <c r="I61" s="19" t="n">
        <v>48500000</v>
      </c>
      <c r="J61" s="20" t="n">
        <v>16500000</v>
      </c>
      <c r="K61" s="15" t="n">
        <v>24570000</v>
      </c>
      <c r="L61" s="14" t="n"/>
      <c r="M61" s="46" t="n"/>
      <c r="N61" s="14" t="inlineStr">
        <is>
          <t>Có</t>
        </is>
      </c>
      <c r="O61" s="14" t="inlineStr">
        <is>
          <t>Có</t>
        </is>
      </c>
      <c r="P61" s="14" t="inlineStr">
        <is>
          <t>Có</t>
        </is>
      </c>
      <c r="Q61" s="14" t="inlineStr">
        <is>
          <t>PEROTAC - Bơm cắt rác WC.pdf, tr.5 (hãng khác: AQUARIS, REDPUMP)</t>
        </is>
      </c>
    </row>
    <row r="62" ht="18" customHeight="1" s="1">
      <c r="A62" s="14" t="n">
        <v>51</v>
      </c>
      <c r="B62" s="14" t="inlineStr">
        <is>
          <t>100WC100-40-18.5</t>
        </is>
      </c>
      <c r="C62" s="14" t="n">
        <v>18.5</v>
      </c>
      <c r="D62" s="14" t="n">
        <v>100</v>
      </c>
      <c r="E62" s="14" t="n">
        <v>240</v>
      </c>
      <c r="F62" s="14" t="n">
        <v>52</v>
      </c>
      <c r="G62" s="9" t="n">
        <v>33100000</v>
      </c>
      <c r="H62" s="10" t="n">
        <v>39400000</v>
      </c>
      <c r="I62" s="19" t="n">
        <v>65000000</v>
      </c>
      <c r="J62" s="20" t="n">
        <v>21000000</v>
      </c>
      <c r="K62" s="12" t="n">
        <v>33075000</v>
      </c>
      <c r="L62" s="14" t="n"/>
      <c r="M62" s="46" t="n"/>
      <c r="R62" s="44" t="inlineStr">
        <is>
          <t>Không có trong catalogue đã duyệt – giữ nguyên thông số cũ</t>
        </is>
      </c>
    </row>
    <row r="63" ht="18" customHeight="1" s="1">
      <c r="A63" s="8" t="n">
        <v>52</v>
      </c>
      <c r="B63" s="8" t="inlineStr">
        <is>
          <t>100WC100-50-22</t>
        </is>
      </c>
      <c r="C63" s="8" t="n">
        <v>22</v>
      </c>
      <c r="D63" s="8" t="n">
        <v>100</v>
      </c>
      <c r="E63" s="8" t="n">
        <v>240</v>
      </c>
      <c r="F63" s="8" t="n">
        <v>65</v>
      </c>
      <c r="G63" s="9" t="n">
        <v>34000000</v>
      </c>
      <c r="H63" s="10" t="n">
        <v>40500000</v>
      </c>
      <c r="I63" s="19" t="n">
        <v>68000000</v>
      </c>
      <c r="J63" s="20" t="n">
        <v>24500000</v>
      </c>
      <c r="K63" s="15" t="n">
        <v>34020000</v>
      </c>
      <c r="L63" s="8" t="n"/>
      <c r="M63" s="46" t="n"/>
      <c r="N63" s="8" t="inlineStr">
        <is>
          <t>Có</t>
        </is>
      </c>
      <c r="O63" s="8" t="inlineStr">
        <is>
          <t>Có</t>
        </is>
      </c>
      <c r="P63" s="8" t="inlineStr">
        <is>
          <t>Có</t>
        </is>
      </c>
      <c r="Q63" s="8" t="inlineStr">
        <is>
          <t>PEROTAC - Bơm cắt rác WC.pdf, tr.5 (hãng khác: AQUARIS, REDPUMP)</t>
        </is>
      </c>
    </row>
    <row r="64" ht="18" customHeight="1" s="1">
      <c r="A64" s="14" t="n">
        <v>53</v>
      </c>
      <c r="B64" s="14" t="inlineStr">
        <is>
          <t>150WC100-10-5.5</t>
        </is>
      </c>
      <c r="C64" s="14" t="n">
        <v>5.5</v>
      </c>
      <c r="D64" s="14" t="n">
        <v>150</v>
      </c>
      <c r="E64" s="14" t="n">
        <v>150</v>
      </c>
      <c r="F64" s="14" t="n">
        <v>22</v>
      </c>
      <c r="G64" s="9" t="n">
        <v>8900000</v>
      </c>
      <c r="H64" s="10" t="n">
        <v>10500000</v>
      </c>
      <c r="I64" s="19" t="n">
        <v>20600000</v>
      </c>
      <c r="J64" s="20" t="n">
        <v>6400000</v>
      </c>
      <c r="K64" s="15" t="n">
        <v>8505000</v>
      </c>
      <c r="L64" s="14" t="n"/>
      <c r="M64" s="46" t="n"/>
      <c r="N64" s="14" t="inlineStr">
        <is>
          <t>Có</t>
        </is>
      </c>
      <c r="O64" s="14" t="inlineStr">
        <is>
          <t>Có</t>
        </is>
      </c>
      <c r="P64" s="14" t="inlineStr">
        <is>
          <t>Có</t>
        </is>
      </c>
      <c r="Q64" s="14" t="inlineStr">
        <is>
          <t>PEROTAC - Bơm cắt rác WC.pdf, tr.6 (hãng khác: AQUARIS, REDPUMP)</t>
        </is>
      </c>
    </row>
    <row r="65" ht="18" customHeight="1" s="1">
      <c r="A65" s="8" t="n">
        <v>54</v>
      </c>
      <c r="B65" s="8" t="inlineStr">
        <is>
          <t>150WC120-10-7.5</t>
        </is>
      </c>
      <c r="C65" s="8" t="n">
        <v>7.5</v>
      </c>
      <c r="D65" s="8" t="n">
        <v>150</v>
      </c>
      <c r="E65" s="43" t="n">
        <v>210</v>
      </c>
      <c r="F65" s="8" t="n">
        <v>26</v>
      </c>
      <c r="G65" s="9" t="n">
        <v>10900000</v>
      </c>
      <c r="H65" s="10" t="n">
        <v>12900000</v>
      </c>
      <c r="I65" s="19" t="n">
        <v>25200000</v>
      </c>
      <c r="J65" s="20" t="n">
        <v>7650000</v>
      </c>
      <c r="K65" s="12" t="n">
        <v>10395000</v>
      </c>
      <c r="L65" s="8" t="n"/>
      <c r="M65" s="46" t="n"/>
      <c r="N65" s="8" t="inlineStr">
        <is>
          <t>Có</t>
        </is>
      </c>
      <c r="O65" s="8" t="inlineStr">
        <is>
          <t>Có</t>
        </is>
      </c>
      <c r="P65" s="8" t="inlineStr">
        <is>
          <t>Có</t>
        </is>
      </c>
      <c r="Q65" s="8" t="inlineStr">
        <is>
          <t>PEROTAC - Bơm cắt rác WC.pdf, tr.6 (hãng khác: AQUARIS, REDPUMP)</t>
        </is>
      </c>
    </row>
    <row r="66" ht="18" customHeight="1" s="1">
      <c r="A66" s="14" t="n">
        <v>55</v>
      </c>
      <c r="B66" s="14" t="inlineStr">
        <is>
          <t>150WC150-10-9.5</t>
        </is>
      </c>
      <c r="C66" s="14" t="n">
        <v>9.5</v>
      </c>
      <c r="D66" s="14" t="n">
        <v>150</v>
      </c>
      <c r="E66" s="14" t="n">
        <v>240</v>
      </c>
      <c r="F66" s="14" t="n">
        <v>27</v>
      </c>
      <c r="G66" s="9" t="n">
        <v>15500000</v>
      </c>
      <c r="H66" s="10" t="n">
        <v>18000000</v>
      </c>
      <c r="I66" s="19" t="n">
        <v>35500000</v>
      </c>
      <c r="J66" s="14" t="n"/>
      <c r="K66" s="14" t="n"/>
      <c r="L66" s="14" t="n"/>
      <c r="M66" s="46" t="n"/>
      <c r="N66" s="14" t="inlineStr">
        <is>
          <t>Có</t>
        </is>
      </c>
      <c r="O66" s="14" t="inlineStr">
        <is>
          <t>Có</t>
        </is>
      </c>
      <c r="P66" s="14" t="inlineStr">
        <is>
          <t>Có</t>
        </is>
      </c>
      <c r="Q66" s="14" t="inlineStr">
        <is>
          <t>PEROTAC - Bơm cắt rác WC.pdf, tr.6 (hãng khác: AQUARIS, REDPUMP)</t>
        </is>
      </c>
    </row>
    <row r="67" ht="18" customHeight="1" s="1">
      <c r="A67" s="8" t="n">
        <v>56</v>
      </c>
      <c r="B67" s="8" t="inlineStr">
        <is>
          <t>150WC150-15-11</t>
        </is>
      </c>
      <c r="C67" s="8" t="n">
        <v>11</v>
      </c>
      <c r="D67" s="8" t="n">
        <v>150</v>
      </c>
      <c r="E67" s="8" t="n">
        <v>300</v>
      </c>
      <c r="F67" s="8" t="n">
        <v>35</v>
      </c>
      <c r="G67" s="9" t="n">
        <v>23600000</v>
      </c>
      <c r="H67" s="10" t="n">
        <v>28100000</v>
      </c>
      <c r="I67" s="19" t="n">
        <v>45900000</v>
      </c>
      <c r="J67" s="20" t="n">
        <v>14500000</v>
      </c>
      <c r="K67" s="12" t="n">
        <v>23625000</v>
      </c>
      <c r="L67" s="8" t="n"/>
      <c r="M67" s="46" t="n"/>
      <c r="N67" s="8" t="inlineStr">
        <is>
          <t>Có</t>
        </is>
      </c>
      <c r="O67" s="8" t="inlineStr">
        <is>
          <t>Có</t>
        </is>
      </c>
      <c r="P67" s="8" t="inlineStr">
        <is>
          <t>Có</t>
        </is>
      </c>
      <c r="Q67" s="8" t="inlineStr">
        <is>
          <t>PEROTAC - Bơm cắt rác WC.pdf, tr.6 (hãng khác: AQUARIS, REDPUMP)</t>
        </is>
      </c>
    </row>
    <row r="68" ht="18" customHeight="1" s="1">
      <c r="A68" s="14" t="n">
        <v>57</v>
      </c>
      <c r="B68" s="14" t="inlineStr">
        <is>
          <t>150WC150-25-15</t>
        </is>
      </c>
      <c r="C68" s="14" t="n">
        <v>15</v>
      </c>
      <c r="D68" s="14" t="n">
        <v>150</v>
      </c>
      <c r="E68" s="14" t="n">
        <v>300</v>
      </c>
      <c r="F68" s="14" t="n">
        <v>40</v>
      </c>
      <c r="G68" s="9" t="n">
        <v>24600000</v>
      </c>
      <c r="H68" s="10" t="n">
        <v>29300000</v>
      </c>
      <c r="I68" s="19" t="n">
        <v>48500000</v>
      </c>
      <c r="J68" s="20" t="n">
        <v>16500000</v>
      </c>
      <c r="K68" s="15" t="n">
        <v>24570000</v>
      </c>
      <c r="L68" s="14" t="n"/>
      <c r="M68" s="46" t="n"/>
      <c r="N68" s="14" t="inlineStr">
        <is>
          <t>Có</t>
        </is>
      </c>
      <c r="O68" s="14" t="inlineStr">
        <is>
          <t>Có</t>
        </is>
      </c>
      <c r="P68" s="14" t="inlineStr">
        <is>
          <t>Có</t>
        </is>
      </c>
      <c r="Q68" s="14" t="inlineStr">
        <is>
          <t>PEROTAC - Bơm cắt rác WC.pdf, tr.6 (hãng khác: AQUARIS, REDPUMP)</t>
        </is>
      </c>
    </row>
    <row r="69" ht="18" customHeight="1" s="1">
      <c r="A69" s="8" t="n">
        <v>56</v>
      </c>
      <c r="B69" s="8" t="inlineStr">
        <is>
          <t>200WC150-15-11</t>
        </is>
      </c>
      <c r="C69" s="8" t="n">
        <v>11</v>
      </c>
      <c r="D69" s="8" t="n">
        <v>150</v>
      </c>
      <c r="E69" s="8" t="n">
        <v>300</v>
      </c>
      <c r="F69" s="8" t="n">
        <v>35</v>
      </c>
      <c r="G69" s="9" t="n">
        <v>23600000</v>
      </c>
      <c r="H69" s="10" t="n">
        <v>28100000</v>
      </c>
      <c r="I69" s="19" t="n">
        <v>45900000</v>
      </c>
      <c r="J69" s="20" t="n">
        <v>14500000</v>
      </c>
      <c r="K69" s="12" t="n">
        <v>23625000</v>
      </c>
      <c r="L69" s="8" t="n"/>
      <c r="M69" s="46" t="n"/>
      <c r="R69" s="44" t="inlineStr">
        <is>
          <t>Không có trong catalogue đã duyệt – giữ nguyên thông số cũ</t>
        </is>
      </c>
    </row>
    <row r="70" ht="18" customHeight="1" s="1">
      <c r="A70" s="14" t="n">
        <v>57</v>
      </c>
      <c r="B70" s="14" t="inlineStr">
        <is>
          <t>150WC150-25-15</t>
        </is>
      </c>
      <c r="C70" s="14" t="n">
        <v>15</v>
      </c>
      <c r="D70" s="14" t="n">
        <v>150</v>
      </c>
      <c r="E70" s="14" t="n">
        <v>300</v>
      </c>
      <c r="F70" s="14" t="n">
        <v>40</v>
      </c>
      <c r="G70" s="9" t="n">
        <v>24600000</v>
      </c>
      <c r="H70" s="10" t="n">
        <v>29300000</v>
      </c>
      <c r="I70" s="19" t="n">
        <v>48500000</v>
      </c>
      <c r="J70" s="20" t="n">
        <v>16500000</v>
      </c>
      <c r="K70" s="15" t="n">
        <v>24570000</v>
      </c>
      <c r="L70" s="14" t="n"/>
      <c r="M70" s="46" t="n"/>
      <c r="N70" s="14" t="inlineStr">
        <is>
          <t>Có</t>
        </is>
      </c>
      <c r="O70" s="14" t="inlineStr">
        <is>
          <t>Có</t>
        </is>
      </c>
      <c r="P70" s="14" t="inlineStr">
        <is>
          <t>Có</t>
        </is>
      </c>
      <c r="Q70" s="14" t="inlineStr">
        <is>
          <t>PEROTAC - Bơm cắt rác WC.pdf, tr.6 (hãng khác: AQUARIS, REDPUMP)</t>
        </is>
      </c>
    </row>
    <row r="71" ht="18" customHeight="1" s="1">
      <c r="A71" s="8" t="n">
        <v>58</v>
      </c>
      <c r="B71" s="8" t="inlineStr">
        <is>
          <t>150WC200-20-18.5</t>
        </is>
      </c>
      <c r="C71" s="8" t="n">
        <v>18.5</v>
      </c>
      <c r="D71" s="8" t="n">
        <v>150</v>
      </c>
      <c r="E71" s="8" t="n">
        <v>360</v>
      </c>
      <c r="F71" s="8" t="n">
        <v>40</v>
      </c>
      <c r="G71" s="9" t="n">
        <v>33100000</v>
      </c>
      <c r="H71" s="10" t="n">
        <v>39400000</v>
      </c>
      <c r="I71" s="19" t="n">
        <v>65000000</v>
      </c>
      <c r="J71" s="20" t="n">
        <v>21000000</v>
      </c>
      <c r="K71" s="12" t="n">
        <v>33075000</v>
      </c>
      <c r="L71" s="8" t="n"/>
      <c r="M71" s="46" t="n"/>
      <c r="N71" s="8" t="inlineStr">
        <is>
          <t>Có</t>
        </is>
      </c>
      <c r="O71" s="8" t="inlineStr">
        <is>
          <t>Có</t>
        </is>
      </c>
      <c r="P71" s="8" t="inlineStr">
        <is>
          <t>Có</t>
        </is>
      </c>
      <c r="Q71" s="8" t="inlineStr">
        <is>
          <t>PEROTAC - Bơm cắt rác WC.pdf, tr.6 (hãng khác: AQUARIS, REDPUMP)</t>
        </is>
      </c>
    </row>
    <row r="72" ht="18" customHeight="1" s="1">
      <c r="A72" s="14" t="n">
        <v>59</v>
      </c>
      <c r="B72" s="14" t="inlineStr">
        <is>
          <t>150WC200-25-22</t>
        </is>
      </c>
      <c r="C72" s="14" t="n">
        <v>22</v>
      </c>
      <c r="D72" s="14" t="n">
        <v>150</v>
      </c>
      <c r="E72" s="14" t="n">
        <v>360</v>
      </c>
      <c r="F72" s="14" t="n">
        <v>44</v>
      </c>
      <c r="G72" s="9" t="n">
        <v>34000000</v>
      </c>
      <c r="H72" s="10" t="n">
        <v>40500000</v>
      </c>
      <c r="I72" s="19" t="n">
        <v>68000000</v>
      </c>
      <c r="J72" s="20" t="n">
        <v>24500000</v>
      </c>
      <c r="K72" s="15" t="n">
        <v>34020000</v>
      </c>
      <c r="L72" s="14" t="n"/>
      <c r="M72" s="46" t="n"/>
      <c r="N72" s="14" t="inlineStr">
        <is>
          <t>Có</t>
        </is>
      </c>
      <c r="O72" s="14" t="inlineStr">
        <is>
          <t>Có</t>
        </is>
      </c>
      <c r="P72" s="14" t="inlineStr">
        <is>
          <t>Có</t>
        </is>
      </c>
      <c r="Q72" s="14" t="inlineStr">
        <is>
          <t>PEROTAC - Bơm cắt rác WC.pdf, tr.6 (hãng khác: AQUARIS, REDPUMP)</t>
        </is>
      </c>
    </row>
    <row r="73" ht="18" customHeight="1" s="1">
      <c r="A73" s="8" t="n">
        <v>60</v>
      </c>
      <c r="B73" s="8" t="inlineStr">
        <is>
          <t xml:space="preserve">200WC200-20-22 </t>
        </is>
      </c>
      <c r="C73" s="8" t="n">
        <v>22</v>
      </c>
      <c r="D73" s="8" t="n">
        <v>200</v>
      </c>
      <c r="E73" s="43" t="n">
        <v>500</v>
      </c>
      <c r="F73" s="8" t="n">
        <v>30</v>
      </c>
      <c r="G73" s="9" t="n">
        <v>44900000</v>
      </c>
      <c r="H73" s="10" t="n">
        <v>48800000</v>
      </c>
      <c r="I73" s="19" t="n">
        <v>78300000</v>
      </c>
      <c r="J73" s="20" t="n">
        <v>26000000</v>
      </c>
      <c r="K73" s="8" t="n"/>
      <c r="L73" s="12" t="n">
        <v>39000000</v>
      </c>
      <c r="M73" s="46" t="n"/>
      <c r="N73" s="8" t="inlineStr">
        <is>
          <t>Có</t>
        </is>
      </c>
      <c r="O73" s="8" t="inlineStr">
        <is>
          <t>Có</t>
        </is>
      </c>
      <c r="P73" s="8" t="inlineStr">
        <is>
          <t>Có</t>
        </is>
      </c>
      <c r="Q73" s="8" t="inlineStr">
        <is>
          <t>PEROTAC - Bơm cắt rác WC.pdf, tr.7 (hãng khác: AQUARIS, REDPUMP)</t>
        </is>
      </c>
    </row>
    <row r="74" ht="18" customHeight="1" s="1">
      <c r="A74" s="14" t="n">
        <v>61</v>
      </c>
      <c r="B74" s="14" t="inlineStr">
        <is>
          <t>200WC250-22-30  Tốc 1450</t>
        </is>
      </c>
      <c r="C74" s="14" t="n">
        <v>30</v>
      </c>
      <c r="D74" s="14" t="n">
        <v>200</v>
      </c>
      <c r="E74" s="14" t="n">
        <v>600</v>
      </c>
      <c r="F74" s="43" t="n">
        <v>32</v>
      </c>
      <c r="G74" s="9" t="n">
        <v>68800000</v>
      </c>
      <c r="H74" s="10" t="n">
        <v>74800000</v>
      </c>
      <c r="I74" s="19" t="n">
        <v>101000000</v>
      </c>
      <c r="J74" s="20" t="n">
        <v>50000000</v>
      </c>
      <c r="K74" s="14" t="n"/>
      <c r="L74" s="15" t="n">
        <v>59800000</v>
      </c>
      <c r="M74" s="46" t="n"/>
      <c r="N74" s="14" t="inlineStr">
        <is>
          <t>Có</t>
        </is>
      </c>
      <c r="O74" s="14" t="inlineStr">
        <is>
          <t>Có</t>
        </is>
      </c>
      <c r="P74" s="14" t="inlineStr">
        <is>
          <t>Có</t>
        </is>
      </c>
      <c r="Q74" s="14" t="inlineStr">
        <is>
          <t>PEROTAC - Bơm cắt rác WC.pdf, tr.7 (hãng khác: AQUARIS, REDPUMP)</t>
        </is>
      </c>
    </row>
    <row r="75" ht="18" customHeight="1" s="1">
      <c r="A75" s="8" t="n">
        <v>62</v>
      </c>
      <c r="B75" s="8" t="inlineStr">
        <is>
          <t>250WC600-9-30  Tốc 1450</t>
        </is>
      </c>
      <c r="C75" s="8" t="n">
        <v>30</v>
      </c>
      <c r="D75" s="8" t="n">
        <v>250</v>
      </c>
      <c r="E75" s="43" t="n">
        <v>1100</v>
      </c>
      <c r="F75" s="43" t="n">
        <v>17</v>
      </c>
      <c r="G75" s="9" t="n">
        <v>68800000</v>
      </c>
      <c r="H75" s="10" t="n">
        <v>74800000</v>
      </c>
      <c r="I75" s="19" t="n">
        <v>101000000</v>
      </c>
      <c r="J75" s="20" t="n">
        <v>50000000</v>
      </c>
      <c r="K75" s="8" t="n"/>
      <c r="L75" s="12" t="n">
        <v>59800000</v>
      </c>
      <c r="M75" s="46" t="n"/>
      <c r="N75" s="8" t="inlineStr">
        <is>
          <t>Có</t>
        </is>
      </c>
      <c r="O75" s="8" t="inlineStr">
        <is>
          <t>Có</t>
        </is>
      </c>
      <c r="P75" s="8" t="inlineStr">
        <is>
          <t>Có</t>
        </is>
      </c>
      <c r="Q75" s="8" t="inlineStr">
        <is>
          <t>PEROTAC - Bơm cắt rác WC.pdf, tr.8 (hãng khác: AQUARIS, REDPUMP)</t>
        </is>
      </c>
    </row>
    <row r="76" ht="18" customHeight="1" s="1">
      <c r="A76" s="14" t="n">
        <v>63</v>
      </c>
      <c r="B76" s="14" t="inlineStr">
        <is>
          <t>250WC600-12-37 Tốc 1450</t>
        </is>
      </c>
      <c r="C76" s="14" t="n">
        <v>37</v>
      </c>
      <c r="D76" s="14" t="n">
        <v>250</v>
      </c>
      <c r="E76" s="15" t="n">
        <v>1100</v>
      </c>
      <c r="F76" s="14" t="n">
        <v>20</v>
      </c>
      <c r="G76" s="9" t="n">
        <v>79400000</v>
      </c>
      <c r="H76" s="10" t="n">
        <v>86300000</v>
      </c>
      <c r="I76" s="19" t="n">
        <v>111000000</v>
      </c>
      <c r="J76" s="20" t="n">
        <v>58000000</v>
      </c>
      <c r="K76" s="14" t="n"/>
      <c r="L76" s="15" t="n">
        <v>69000000</v>
      </c>
      <c r="M76" s="46" t="n"/>
      <c r="N76" s="14" t="inlineStr">
        <is>
          <t>Có</t>
        </is>
      </c>
      <c r="O76" s="14" t="inlineStr">
        <is>
          <t>Có</t>
        </is>
      </c>
      <c r="P76" s="14" t="inlineStr">
        <is>
          <t>Có</t>
        </is>
      </c>
      <c r="Q76" s="14" t="inlineStr">
        <is>
          <t>PEROTAC - Bơm cắt rác WC.pdf, tr.8 (hãng khác: AQUARIS, REDPUMP)</t>
        </is>
      </c>
    </row>
    <row r="77" ht="18" customHeight="1" s="1">
      <c r="A77" s="8" t="n">
        <v>64</v>
      </c>
      <c r="B77" s="8" t="inlineStr">
        <is>
          <t>250WC600-15-45  Tốc 1450</t>
        </is>
      </c>
      <c r="C77" s="8" t="n">
        <v>45</v>
      </c>
      <c r="D77" s="8" t="n">
        <v>250</v>
      </c>
      <c r="E77" s="12" t="n">
        <v>1100</v>
      </c>
      <c r="F77" s="8" t="n">
        <v>24</v>
      </c>
      <c r="G77" s="9" t="n">
        <v>84000000</v>
      </c>
      <c r="H77" s="10" t="n">
        <v>91300000</v>
      </c>
      <c r="I77" s="19" t="n">
        <v>118000000</v>
      </c>
      <c r="J77" s="20" t="n">
        <v>61500000</v>
      </c>
      <c r="K77" s="8" t="n"/>
      <c r="L77" s="12" t="n">
        <v>73000000</v>
      </c>
      <c r="M77" s="46" t="n"/>
      <c r="N77" s="8" t="inlineStr">
        <is>
          <t>Có</t>
        </is>
      </c>
      <c r="O77" s="8" t="inlineStr">
        <is>
          <t>Có</t>
        </is>
      </c>
      <c r="P77" s="8" t="inlineStr">
        <is>
          <t>Có</t>
        </is>
      </c>
      <c r="Q77" s="8" t="inlineStr">
        <is>
          <t>PEROTAC - Bơm cắt rác WC.pdf, tr.8 (hãng khác: AQUARIS, REDPUMP)</t>
        </is>
      </c>
    </row>
    <row r="78" ht="18" customHeight="1" s="1">
      <c r="A78" s="14" t="n">
        <v>65</v>
      </c>
      <c r="B78" s="14" t="inlineStr">
        <is>
          <t>300WC800-12-45  Tốc 1450</t>
        </is>
      </c>
      <c r="C78" s="14" t="n">
        <v>45</v>
      </c>
      <c r="D78" s="14" t="n">
        <v>300</v>
      </c>
      <c r="E78" s="47" t="n">
        <v>1600</v>
      </c>
      <c r="F78" s="14" t="n">
        <v>21</v>
      </c>
      <c r="G78" s="9" t="n">
        <v>84000000</v>
      </c>
      <c r="H78" s="10" t="n">
        <v>91300000</v>
      </c>
      <c r="I78" s="19" t="n">
        <v>118000000</v>
      </c>
      <c r="J78" s="20" t="n">
        <v>61500000</v>
      </c>
      <c r="K78" s="14" t="n"/>
      <c r="L78" s="15" t="n">
        <v>73000000</v>
      </c>
      <c r="M78" s="46" t="n"/>
      <c r="N78" s="14" t="inlineStr">
        <is>
          <t>Có</t>
        </is>
      </c>
      <c r="O78" s="14" t="inlineStr">
        <is>
          <t>Có</t>
        </is>
      </c>
      <c r="P78" s="14" t="inlineStr">
        <is>
          <t>Có</t>
        </is>
      </c>
      <c r="Q78" s="14" t="inlineStr">
        <is>
          <t>PEROTAC - Bơm cắt rác WC.pdf, tr.9 (hãng khác: AQUARIS, REDPUMP)</t>
        </is>
      </c>
    </row>
    <row r="79" ht="18" customHeight="1" s="1">
      <c r="A79" s="8" t="n">
        <v>66</v>
      </c>
      <c r="B79" s="8" t="inlineStr">
        <is>
          <t>300WC800-15-55  Tốc 1450</t>
        </is>
      </c>
      <c r="C79" s="8" t="n">
        <v>55</v>
      </c>
      <c r="D79" s="8" t="n">
        <v>300</v>
      </c>
      <c r="E79" s="47" t="n">
        <v>1800</v>
      </c>
      <c r="F79" s="8" t="n">
        <v>25</v>
      </c>
      <c r="G79" s="9" t="n">
        <v>90000000</v>
      </c>
      <c r="H79" s="10" t="n">
        <v>97500000</v>
      </c>
      <c r="I79" s="19" t="n">
        <v>150000000</v>
      </c>
      <c r="J79" s="12" t="n">
        <v>78000000</v>
      </c>
      <c r="K79" s="8" t="n"/>
      <c r="L79" s="8" t="inlineStr">
        <is>
          <t>Giá áng chừng</t>
        </is>
      </c>
      <c r="M79" s="46" t="n"/>
      <c r="N79" s="8" t="inlineStr">
        <is>
          <t>Có</t>
        </is>
      </c>
      <c r="O79" s="8" t="inlineStr">
        <is>
          <t>Có</t>
        </is>
      </c>
      <c r="P79" s="8" t="inlineStr">
        <is>
          <t>Có</t>
        </is>
      </c>
      <c r="Q79" s="8" t="inlineStr">
        <is>
          <t>PEROTAC - Bơm cắt rác WC.pdf, tr.9 (hãng khác: AQUARIS, REDPUMP)</t>
        </is>
      </c>
    </row>
    <row r="80" ht="18" customHeight="1" s="1">
      <c r="A80" s="14" t="n">
        <v>67</v>
      </c>
      <c r="B80" s="14" t="inlineStr">
        <is>
          <t>300WC800-20-75  Tốc 1450</t>
        </is>
      </c>
      <c r="C80" s="14" t="n">
        <v>75</v>
      </c>
      <c r="D80" s="14" t="n">
        <v>300</v>
      </c>
      <c r="E80" s="47" t="n">
        <v>2200</v>
      </c>
      <c r="F80" s="14" t="n">
        <v>30</v>
      </c>
      <c r="G80" s="9" t="n">
        <v>102000000</v>
      </c>
      <c r="H80" s="10" t="n">
        <v>110500000</v>
      </c>
      <c r="I80" s="19" t="n">
        <v>169000000</v>
      </c>
      <c r="J80" s="15" t="n">
        <v>89000000</v>
      </c>
      <c r="K80" s="14" t="n"/>
      <c r="L80" s="14" t="inlineStr">
        <is>
          <t>Giá áng chừng</t>
        </is>
      </c>
      <c r="M80" s="46" t="n"/>
      <c r="N80" s="14" t="inlineStr">
        <is>
          <t>Có</t>
        </is>
      </c>
      <c r="O80" s="14" t="inlineStr">
        <is>
          <t>Có</t>
        </is>
      </c>
      <c r="P80" s="14" t="inlineStr">
        <is>
          <t>Có</t>
        </is>
      </c>
      <c r="Q80" s="14" t="inlineStr">
        <is>
          <t>PEROTAC - Bơm cắt rác WC.pdf, tr.9 (hãng khác: AQUARIS, REDPUMP)</t>
        </is>
      </c>
    </row>
    <row r="81" ht="18" customHeight="1" s="1">
      <c r="A81" s="8" t="n">
        <v>68</v>
      </c>
      <c r="B81" s="8" t="inlineStr">
        <is>
          <t>300WC950-20-95  Tốc 1450</t>
        </is>
      </c>
      <c r="C81" s="8" t="n">
        <v>95</v>
      </c>
      <c r="D81" s="8" t="n">
        <v>300</v>
      </c>
      <c r="E81" s="47" t="n">
        <v>2200</v>
      </c>
      <c r="F81" s="8" t="n">
        <v>32</v>
      </c>
      <c r="G81" s="9" t="n">
        <v>138000000</v>
      </c>
      <c r="H81" s="10" t="n">
        <v>149500000</v>
      </c>
      <c r="I81" s="19" t="n">
        <v>200000000</v>
      </c>
      <c r="J81" s="12" t="n">
        <v>120000000</v>
      </c>
      <c r="K81" s="8" t="n"/>
      <c r="L81" s="8" t="inlineStr">
        <is>
          <t>Giá áng chừng</t>
        </is>
      </c>
      <c r="M81" s="46" t="n"/>
      <c r="N81" s="8" t="inlineStr">
        <is>
          <t>Có</t>
        </is>
      </c>
      <c r="O81" s="8" t="inlineStr">
        <is>
          <t>Có</t>
        </is>
      </c>
      <c r="P81" s="8" t="inlineStr">
        <is>
          <t>Có</t>
        </is>
      </c>
      <c r="Q81" s="8" t="inlineStr">
        <is>
          <t>PEROTAC - Bơm cắt rác WC.pdf, tr.9 (hãng khác: AQUARIS, REDPUMP)</t>
        </is>
      </c>
    </row>
    <row r="82" ht="18" customHeight="1" s="1">
      <c r="A82" s="14" t="n">
        <v>69</v>
      </c>
      <c r="B82" s="14" t="inlineStr">
        <is>
          <t>300WC1200-20-110  Tốc 1450</t>
        </is>
      </c>
      <c r="C82" s="14" t="n">
        <v>110</v>
      </c>
      <c r="D82" s="14" t="n">
        <v>300</v>
      </c>
      <c r="E82" s="47" t="n">
        <v>2600</v>
      </c>
      <c r="F82" s="14" t="n">
        <v>34</v>
      </c>
      <c r="G82" s="9" t="n">
        <v>162000000</v>
      </c>
      <c r="H82" s="10" t="n">
        <v>175500000</v>
      </c>
      <c r="I82" s="19" t="n">
        <v>230000000</v>
      </c>
      <c r="J82" s="15" t="n">
        <v>142000000</v>
      </c>
      <c r="K82" s="14" t="n"/>
      <c r="L82" s="14" t="inlineStr">
        <is>
          <t>Giá áng chừng</t>
        </is>
      </c>
      <c r="M82" s="45" t="n"/>
      <c r="N82" s="14" t="inlineStr">
        <is>
          <t>Có</t>
        </is>
      </c>
      <c r="O82" s="14" t="inlineStr">
        <is>
          <t>Có</t>
        </is>
      </c>
      <c r="P82" s="14" t="inlineStr">
        <is>
          <t>Có</t>
        </is>
      </c>
      <c r="Q82" s="14" t="inlineStr">
        <is>
          <t>PEROTAC - Bơm cắt rác WC.pdf, tr.9 (hãng khác: AQUARIS, REDPUMP)</t>
        </is>
      </c>
    </row>
  </sheetData>
  <mergeCells count="2">
    <mergeCell ref="M2:M31"/>
    <mergeCell ref="M32:M82"/>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O18"/>
  <sheetViews>
    <sheetView zoomScaleNormal="100" workbookViewId="0">
      <pane xSplit="2" ySplit="1" topLeftCell="C2" activePane="bottomRight" state="frozen"/>
      <selection pane="topRight" activeCell="A1" sqref="A1"/>
      <selection pane="bottomLeft" activeCell="A1" sqref="A1"/>
      <selection pane="bottomRight" activeCell="F24" sqref="F24"/>
    </sheetView>
  </sheetViews>
  <sheetFormatPr baseColWidth="8" defaultColWidth="8.7109375" defaultRowHeight="15"/>
  <cols>
    <col width="5" customWidth="1" style="1" min="1" max="1"/>
    <col width="24" customWidth="1" style="1" min="2" max="2"/>
    <col width="12" customWidth="1" style="1" min="3" max="3"/>
    <col width="13" customWidth="1" style="1" min="4" max="4"/>
    <col width="11" customWidth="1" style="1" min="5" max="5"/>
    <col width="13" customWidth="1" style="1" min="6" max="8"/>
    <col width="14" customWidth="1" style="1" min="9" max="10"/>
    <col width="16" customWidth="1" style="1" min="11" max="11"/>
    <col width="16" customWidth="1" style="1" min="12" max="12"/>
    <col width="16" customWidth="1" style="1" min="13" max="13"/>
    <col width="40" customWidth="1" style="1" min="14" max="14"/>
    <col width="45" customWidth="1" style="1" min="15" max="15"/>
  </cols>
  <sheetData>
    <row r="1" ht="30" customHeight="1" s="1">
      <c r="A1" s="2" t="inlineStr">
        <is>
          <t>STT</t>
        </is>
      </c>
      <c r="B1" s="2" t="inlineStr">
        <is>
          <t>MODEL</t>
        </is>
      </c>
      <c r="C1" s="2" t="inlineStr">
        <is>
          <t>CÔNG SUẤT (KW)</t>
        </is>
      </c>
      <c r="D1" s="2" t="inlineStr">
        <is>
          <t>Lưu lượng max (m3/h)</t>
        </is>
      </c>
      <c r="E1" s="2" t="inlineStr">
        <is>
          <t>Cột áp max (m)</t>
        </is>
      </c>
      <c r="F1" s="3" t="inlineStr">
        <is>
          <t>REDPUMP</t>
        </is>
      </c>
      <c r="G1" s="4" t="inlineStr">
        <is>
          <t>PEROTAC</t>
        </is>
      </c>
      <c r="H1" s="5" t="inlineStr">
        <is>
          <t>AQUARIS</t>
        </is>
      </c>
      <c r="I1" s="6" t="inlineStr">
        <is>
          <t>Giá nhập</t>
        </is>
      </c>
      <c r="J1" s="2" t="inlineStr">
        <is>
          <t>Nhóm</t>
        </is>
      </c>
      <c r="K1" s="42" t="inlineStr">
        <is>
          <t>Có trong catalogue REDPUMP</t>
        </is>
      </c>
      <c r="L1" s="42" t="inlineStr">
        <is>
          <t>Có trong catalogue PEROTAC</t>
        </is>
      </c>
      <c r="M1" s="42" t="inlineStr">
        <is>
          <t>Có trong catalogue AQUARIS</t>
        </is>
      </c>
      <c r="N1" s="42" t="inlineStr">
        <is>
          <t>Nguồn thông số (catalogue đã duyệt)</t>
        </is>
      </c>
      <c r="O1" s="42" t="inlineStr">
        <is>
          <t>Ghi chú</t>
        </is>
      </c>
    </row>
    <row r="2" ht="18" customHeight="1" s="1">
      <c r="A2" s="8" t="n">
        <v>2</v>
      </c>
      <c r="B2" s="8" t="inlineStr">
        <is>
          <t>FS75/40M</t>
        </is>
      </c>
      <c r="C2" s="8" t="n">
        <v>0.55</v>
      </c>
      <c r="D2" s="8" t="n">
        <v>18</v>
      </c>
      <c r="E2" s="8" t="n">
        <v>9.5</v>
      </c>
      <c r="F2" s="9" t="n">
        <v>4300000</v>
      </c>
      <c r="G2" s="10" t="n">
        <v>5000000</v>
      </c>
      <c r="H2" s="19" t="n">
        <v>6300000</v>
      </c>
      <c r="I2" s="12" t="n">
        <v>3744000</v>
      </c>
      <c r="J2" s="39" t="inlineStr">
        <is>
          <t>Bơm inox FS</t>
        </is>
      </c>
      <c r="K2" s="44" t="inlineStr">
        <is>
          <t>Không có</t>
        </is>
      </c>
      <c r="L2" s="44" t="inlineStr">
        <is>
          <t>Không có</t>
        </is>
      </c>
      <c r="M2" s="8" t="inlineStr">
        <is>
          <t>Có</t>
        </is>
      </c>
      <c r="N2" s="8" t="inlineStr">
        <is>
          <t>AQUARIS - Bơm chìm nước thải FS.pdf, tr.1</t>
        </is>
      </c>
    </row>
    <row r="3" ht="18" customHeight="1" s="1">
      <c r="A3" s="14" t="n">
        <v>3</v>
      </c>
      <c r="B3" s="14" t="inlineStr">
        <is>
          <t>FS100/40M</t>
        </is>
      </c>
      <c r="C3" s="14" t="n">
        <v>0.75</v>
      </c>
      <c r="D3" s="43" t="n">
        <v>18</v>
      </c>
      <c r="E3" s="14" t="n">
        <v>10</v>
      </c>
      <c r="F3" s="9" t="n">
        <v>4500000</v>
      </c>
      <c r="G3" s="10" t="n">
        <v>5200000</v>
      </c>
      <c r="H3" s="19" t="n">
        <v>6500000</v>
      </c>
      <c r="I3" s="15" t="n">
        <v>3780000</v>
      </c>
      <c r="J3" s="46" t="n"/>
      <c r="K3" s="44" t="inlineStr">
        <is>
          <t>Không có</t>
        </is>
      </c>
      <c r="L3" s="44" t="inlineStr">
        <is>
          <t>Không có</t>
        </is>
      </c>
      <c r="M3" s="14" t="inlineStr">
        <is>
          <t>Có</t>
        </is>
      </c>
      <c r="N3" s="14" t="inlineStr">
        <is>
          <t>AQUARIS - Bơm chìm nước thải FS.pdf, tr.1</t>
        </is>
      </c>
    </row>
    <row r="4" ht="18" customHeight="1" s="1">
      <c r="A4" s="8" t="n">
        <v>4</v>
      </c>
      <c r="B4" s="8" t="inlineStr">
        <is>
          <t>FS150/40M</t>
        </is>
      </c>
      <c r="C4" s="8" t="n">
        <v>1.1</v>
      </c>
      <c r="D4" s="8" t="n">
        <v>24</v>
      </c>
      <c r="E4" s="8" t="n">
        <v>12.5</v>
      </c>
      <c r="F4" s="9" t="n">
        <v>4900000</v>
      </c>
      <c r="G4" s="10" t="n">
        <v>5700000</v>
      </c>
      <c r="H4" s="19" t="n">
        <v>7100000</v>
      </c>
      <c r="I4" s="12" t="n">
        <v>4248000</v>
      </c>
      <c r="J4" s="46" t="n"/>
      <c r="K4" s="44" t="inlineStr">
        <is>
          <t>Không có</t>
        </is>
      </c>
      <c r="L4" s="44" t="inlineStr">
        <is>
          <t>Không có</t>
        </is>
      </c>
      <c r="M4" s="8" t="inlineStr">
        <is>
          <t>Có</t>
        </is>
      </c>
      <c r="N4" s="8" t="inlineStr">
        <is>
          <t>AQUARIS - Bơm chìm nước thải FS.pdf, tr.1</t>
        </is>
      </c>
    </row>
    <row r="5" ht="18" customHeight="1" s="1">
      <c r="A5" s="14" t="n">
        <v>5</v>
      </c>
      <c r="B5" s="14" t="inlineStr">
        <is>
          <t>FS200/50M</t>
        </is>
      </c>
      <c r="C5" s="14" t="n">
        <v>1.5</v>
      </c>
      <c r="D5" s="14" t="n">
        <v>30</v>
      </c>
      <c r="E5" s="14" t="n">
        <v>14</v>
      </c>
      <c r="F5" s="9" t="n">
        <v>7000000</v>
      </c>
      <c r="G5" s="10" t="n">
        <v>7900000</v>
      </c>
      <c r="H5" s="19" t="n">
        <v>10000000</v>
      </c>
      <c r="I5" s="15" t="n">
        <v>6035000</v>
      </c>
      <c r="J5" s="46" t="n"/>
      <c r="K5" s="44" t="inlineStr">
        <is>
          <t>Không có</t>
        </is>
      </c>
      <c r="L5" s="44" t="inlineStr">
        <is>
          <t>Không có</t>
        </is>
      </c>
      <c r="M5" s="14" t="inlineStr">
        <is>
          <t>Có</t>
        </is>
      </c>
      <c r="N5" s="14" t="inlineStr">
        <is>
          <t>AQUARIS - Bơm chìm nước thải FS.pdf, tr.1</t>
        </is>
      </c>
    </row>
    <row r="6" ht="18" customHeight="1" s="1">
      <c r="A6" s="8" t="n">
        <v>6</v>
      </c>
      <c r="B6" s="8" t="inlineStr">
        <is>
          <t>FS300/50M</t>
        </is>
      </c>
      <c r="C6" s="8" t="n">
        <v>2.2</v>
      </c>
      <c r="D6" s="8" t="n">
        <v>48</v>
      </c>
      <c r="E6" s="8" t="n">
        <v>15.5</v>
      </c>
      <c r="F6" s="9" t="n">
        <v>7500000</v>
      </c>
      <c r="G6" s="10" t="n">
        <v>8600000</v>
      </c>
      <c r="H6" s="19" t="n">
        <v>10800000</v>
      </c>
      <c r="I6" s="12" t="n">
        <v>6477000</v>
      </c>
      <c r="J6" s="46" t="n"/>
      <c r="O6" s="44" t="inlineStr">
        <is>
          <t>Không có trong catalogue đã duyệt – giữ nguyên thông số cũ</t>
        </is>
      </c>
    </row>
    <row r="7" ht="18" customHeight="1" s="1">
      <c r="A7" s="14" t="n">
        <v>2</v>
      </c>
      <c r="B7" s="14" t="inlineStr">
        <is>
          <t>FS75/40T</t>
        </is>
      </c>
      <c r="C7" s="14" t="n">
        <v>0.55</v>
      </c>
      <c r="D7" s="14" t="n">
        <v>18</v>
      </c>
      <c r="E7" s="14" t="n">
        <v>9.5</v>
      </c>
      <c r="F7" s="9" t="n">
        <v>4300000</v>
      </c>
      <c r="G7" s="10" t="n">
        <v>5000000</v>
      </c>
      <c r="H7" s="19" t="n">
        <v>6300000</v>
      </c>
      <c r="I7" s="15" t="n">
        <v>3744000</v>
      </c>
      <c r="J7" s="46" t="n"/>
      <c r="K7" s="44" t="inlineStr">
        <is>
          <t>Không có</t>
        </is>
      </c>
      <c r="L7" s="44" t="inlineStr">
        <is>
          <t>Không có</t>
        </is>
      </c>
      <c r="M7" s="14" t="inlineStr">
        <is>
          <t>Có</t>
        </is>
      </c>
      <c r="N7" s="14" t="inlineStr">
        <is>
          <t>AQUARIS - Bơm chìm nước thải FS.pdf, tr.1</t>
        </is>
      </c>
    </row>
    <row r="8" ht="18" customHeight="1" s="1">
      <c r="A8" s="8" t="n">
        <v>3</v>
      </c>
      <c r="B8" s="8" t="inlineStr">
        <is>
          <t>FS100/40T</t>
        </is>
      </c>
      <c r="C8" s="8" t="n">
        <v>0.75</v>
      </c>
      <c r="D8" s="43" t="n">
        <v>18</v>
      </c>
      <c r="E8" s="8" t="n">
        <v>10</v>
      </c>
      <c r="F8" s="9" t="n">
        <v>4500000</v>
      </c>
      <c r="G8" s="10" t="n">
        <v>5200000</v>
      </c>
      <c r="H8" s="19" t="n">
        <v>6500000</v>
      </c>
      <c r="I8" s="12" t="n">
        <v>3780000</v>
      </c>
      <c r="J8" s="46" t="n"/>
      <c r="K8" s="44" t="inlineStr">
        <is>
          <t>Không có</t>
        </is>
      </c>
      <c r="L8" s="44" t="inlineStr">
        <is>
          <t>Không có</t>
        </is>
      </c>
      <c r="M8" s="8" t="inlineStr">
        <is>
          <t>Có</t>
        </is>
      </c>
      <c r="N8" s="8" t="inlineStr">
        <is>
          <t>AQUARIS - Bơm chìm nước thải FS.pdf, tr.1</t>
        </is>
      </c>
    </row>
    <row r="9" ht="18" customHeight="1" s="1">
      <c r="A9" s="14" t="n">
        <v>4</v>
      </c>
      <c r="B9" s="14" t="inlineStr">
        <is>
          <t>FS150/40T</t>
        </is>
      </c>
      <c r="C9" s="14" t="n">
        <v>1.1</v>
      </c>
      <c r="D9" s="14" t="n">
        <v>24</v>
      </c>
      <c r="E9" s="14" t="n">
        <v>12.5</v>
      </c>
      <c r="F9" s="9" t="n">
        <v>4900000</v>
      </c>
      <c r="G9" s="10" t="n">
        <v>5700000</v>
      </c>
      <c r="H9" s="19" t="n">
        <v>7100000</v>
      </c>
      <c r="I9" s="15" t="n">
        <v>4248000</v>
      </c>
      <c r="J9" s="46" t="n"/>
      <c r="K9" s="44" t="inlineStr">
        <is>
          <t>Không có</t>
        </is>
      </c>
      <c r="L9" s="44" t="inlineStr">
        <is>
          <t>Không có</t>
        </is>
      </c>
      <c r="M9" s="14" t="inlineStr">
        <is>
          <t>Có</t>
        </is>
      </c>
      <c r="N9" s="14" t="inlineStr">
        <is>
          <t>AQUARIS - Bơm chìm nước thải FS.pdf, tr.1</t>
        </is>
      </c>
    </row>
    <row r="10" ht="18" customHeight="1" s="1">
      <c r="A10" s="8" t="n">
        <v>5</v>
      </c>
      <c r="B10" s="8" t="inlineStr">
        <is>
          <t>FS200/50T</t>
        </is>
      </c>
      <c r="C10" s="8" t="n">
        <v>1.5</v>
      </c>
      <c r="D10" s="8" t="n">
        <v>30</v>
      </c>
      <c r="E10" s="8" t="n">
        <v>14</v>
      </c>
      <c r="F10" s="9" t="n">
        <v>7000000</v>
      </c>
      <c r="G10" s="10" t="n">
        <v>7900000</v>
      </c>
      <c r="H10" s="19" t="n">
        <v>10000000</v>
      </c>
      <c r="I10" s="12" t="n">
        <v>6035000</v>
      </c>
      <c r="J10" s="46" t="n"/>
      <c r="K10" s="44" t="inlineStr">
        <is>
          <t>Không có</t>
        </is>
      </c>
      <c r="L10" s="44" t="inlineStr">
        <is>
          <t>Không có</t>
        </is>
      </c>
      <c r="M10" s="8" t="inlineStr">
        <is>
          <t>Có</t>
        </is>
      </c>
      <c r="N10" s="8" t="inlineStr">
        <is>
          <t>AQUARIS - Bơm chìm nước thải FS.pdf, tr.1</t>
        </is>
      </c>
    </row>
    <row r="11" ht="18" customHeight="1" s="1">
      <c r="A11" s="14" t="n">
        <v>6</v>
      </c>
      <c r="B11" s="14" t="inlineStr">
        <is>
          <t>FS300/80T</t>
        </is>
      </c>
      <c r="C11" s="14" t="n">
        <v>2.2</v>
      </c>
      <c r="D11" s="14" t="n">
        <v>48</v>
      </c>
      <c r="E11" s="14" t="n">
        <v>15.5</v>
      </c>
      <c r="F11" s="9" t="n">
        <v>7500000</v>
      </c>
      <c r="G11" s="10" t="n">
        <v>8600000</v>
      </c>
      <c r="H11" s="19" t="n">
        <v>10800000</v>
      </c>
      <c r="I11" s="15" t="n">
        <v>6477000</v>
      </c>
      <c r="J11" s="46" t="n"/>
      <c r="K11" s="44" t="inlineStr">
        <is>
          <t>Không có</t>
        </is>
      </c>
      <c r="L11" s="44" t="inlineStr">
        <is>
          <t>Không có</t>
        </is>
      </c>
      <c r="M11" s="14" t="inlineStr">
        <is>
          <t>Có</t>
        </is>
      </c>
      <c r="N11" s="14" t="inlineStr">
        <is>
          <t>AQUARIS - Bơm chìm nước thải FS.pdf, tr.1</t>
        </is>
      </c>
    </row>
    <row r="12" ht="18" customHeight="1" s="1">
      <c r="A12" s="8" t="n">
        <v>2</v>
      </c>
      <c r="B12" s="8" t="inlineStr">
        <is>
          <t>FS-35-7-2.2</t>
        </is>
      </c>
      <c r="C12" s="8" t="n">
        <v>2.2</v>
      </c>
      <c r="D12" s="43" t="n">
        <v>40</v>
      </c>
      <c r="E12" s="8" t="n">
        <v>17</v>
      </c>
      <c r="F12" s="21">
        <f>I12*1.3</f>
        <v/>
      </c>
      <c r="G12" s="22">
        <f>I12*1.6</f>
        <v/>
      </c>
      <c r="H12" s="23">
        <f>I12*2</f>
        <v/>
      </c>
      <c r="I12" s="12" t="n">
        <v>7200000</v>
      </c>
      <c r="J12" s="46" t="n"/>
      <c r="K12" s="44" t="inlineStr">
        <is>
          <t>Không có</t>
        </is>
      </c>
      <c r="L12" s="44" t="inlineStr">
        <is>
          <t>Không có</t>
        </is>
      </c>
      <c r="M12" s="8" t="inlineStr">
        <is>
          <t>Có</t>
        </is>
      </c>
      <c r="N12" s="8" t="inlineStr">
        <is>
          <t>AQUARIS - Bơm chìm nước thải FS inox.pdf, tr.1</t>
        </is>
      </c>
    </row>
    <row r="13" ht="18" customHeight="1" s="1">
      <c r="A13" s="14" t="n">
        <v>3</v>
      </c>
      <c r="B13" s="14" t="inlineStr">
        <is>
          <t>FS-50-7-3.0</t>
        </is>
      </c>
      <c r="C13" s="14" t="n">
        <v>3</v>
      </c>
      <c r="D13" s="43" t="n">
        <v>60</v>
      </c>
      <c r="E13" s="14" t="n">
        <v>17</v>
      </c>
      <c r="F13" s="21">
        <f>I13*1.3</f>
        <v/>
      </c>
      <c r="G13" s="22">
        <f>I13*1.6</f>
        <v/>
      </c>
      <c r="H13" s="23">
        <f>I13*2</f>
        <v/>
      </c>
      <c r="I13" s="15" t="n">
        <v>8000000</v>
      </c>
      <c r="J13" s="46" t="n"/>
      <c r="K13" s="44" t="inlineStr">
        <is>
          <t>Không có</t>
        </is>
      </c>
      <c r="L13" s="44" t="inlineStr">
        <is>
          <t>Không có</t>
        </is>
      </c>
      <c r="M13" s="14" t="inlineStr">
        <is>
          <t>Có</t>
        </is>
      </c>
      <c r="N13" s="14" t="inlineStr">
        <is>
          <t>AQUARIS - Bơm chìm nước thải FS inox.pdf, tr.1</t>
        </is>
      </c>
    </row>
    <row r="14" ht="18" customHeight="1" s="1">
      <c r="A14" s="8" t="n">
        <v>4</v>
      </c>
      <c r="B14" s="8" t="inlineStr">
        <is>
          <t>FS-50-10-4.0</t>
        </is>
      </c>
      <c r="C14" s="8" t="n">
        <v>4</v>
      </c>
      <c r="D14" s="43" t="n">
        <v>80</v>
      </c>
      <c r="E14" s="8" t="n">
        <v>20</v>
      </c>
      <c r="F14" s="21">
        <f>I14*1.3</f>
        <v/>
      </c>
      <c r="G14" s="22">
        <f>I14*1.6</f>
        <v/>
      </c>
      <c r="H14" s="23">
        <f>I14*2</f>
        <v/>
      </c>
      <c r="I14" s="12" t="n">
        <v>11500000</v>
      </c>
      <c r="J14" s="46" t="n"/>
      <c r="K14" s="44" t="inlineStr">
        <is>
          <t>Không có</t>
        </is>
      </c>
      <c r="L14" s="44" t="inlineStr">
        <is>
          <t>Không có</t>
        </is>
      </c>
      <c r="M14" s="8" t="inlineStr">
        <is>
          <t>Có</t>
        </is>
      </c>
      <c r="N14" s="8" t="inlineStr">
        <is>
          <t>AQUARIS - Bơm chìm nước thải FS inox.pdf, tr.1</t>
        </is>
      </c>
    </row>
    <row r="15" ht="18" customHeight="1" s="1">
      <c r="A15" s="14" t="n">
        <v>5</v>
      </c>
      <c r="B15" s="14" t="inlineStr">
        <is>
          <t>FS-100-7-5.5</t>
        </is>
      </c>
      <c r="C15" s="14" t="n">
        <v>5.5</v>
      </c>
      <c r="D15" s="43" t="n">
        <v>120</v>
      </c>
      <c r="E15" s="14" t="n">
        <v>21.5</v>
      </c>
      <c r="F15" s="21">
        <f>I15*1.3</f>
        <v/>
      </c>
      <c r="G15" s="22">
        <f>I15*1.6</f>
        <v/>
      </c>
      <c r="H15" s="23">
        <f>I15*2</f>
        <v/>
      </c>
      <c r="I15" s="15" t="n">
        <v>13000000</v>
      </c>
      <c r="J15" s="46" t="n"/>
      <c r="K15" s="44" t="inlineStr">
        <is>
          <t>Không có</t>
        </is>
      </c>
      <c r="L15" s="44" t="inlineStr">
        <is>
          <t>Không có</t>
        </is>
      </c>
      <c r="M15" s="14" t="inlineStr">
        <is>
          <t>Có</t>
        </is>
      </c>
      <c r="N15" s="14" t="inlineStr">
        <is>
          <t>AQUARIS - Bơm chìm nước thải FS inox.pdf, tr.1</t>
        </is>
      </c>
    </row>
    <row r="16" ht="18" customHeight="1" s="1">
      <c r="A16" s="8" t="n">
        <v>6</v>
      </c>
      <c r="B16" s="8" t="inlineStr">
        <is>
          <t>FS-100-10-7.5</t>
        </is>
      </c>
      <c r="C16" s="8" t="n">
        <v>7.5</v>
      </c>
      <c r="D16" s="43" t="n">
        <v>120</v>
      </c>
      <c r="E16" s="8" t="n">
        <v>24</v>
      </c>
      <c r="F16" s="21">
        <f>I16*1.3</f>
        <v/>
      </c>
      <c r="G16" s="22">
        <f>I16*1.6</f>
        <v/>
      </c>
      <c r="H16" s="23">
        <f>I16*2</f>
        <v/>
      </c>
      <c r="I16" s="12" t="n">
        <v>14000000</v>
      </c>
      <c r="J16" s="46" t="n"/>
      <c r="K16" s="44" t="inlineStr">
        <is>
          <t>Không có</t>
        </is>
      </c>
      <c r="L16" s="44" t="inlineStr">
        <is>
          <t>Không có</t>
        </is>
      </c>
      <c r="M16" s="8" t="inlineStr">
        <is>
          <t>Có</t>
        </is>
      </c>
      <c r="N16" s="8" t="inlineStr">
        <is>
          <t>AQUARIS - Bơm chìm nước thải FS inox.pdf, tr.1</t>
        </is>
      </c>
    </row>
    <row r="17" ht="18" customHeight="1" s="1">
      <c r="A17" s="14" t="n">
        <v>2</v>
      </c>
      <c r="B17" s="14" t="inlineStr">
        <is>
          <t>FS-150-15-11</t>
        </is>
      </c>
      <c r="C17" s="14" t="n">
        <v>11</v>
      </c>
      <c r="D17" s="43" t="n">
        <v>200</v>
      </c>
      <c r="E17" s="43" t="n">
        <v>26</v>
      </c>
      <c r="F17" s="21">
        <f>I17*1.3</f>
        <v/>
      </c>
      <c r="G17" s="22">
        <f>I17*1.6</f>
        <v/>
      </c>
      <c r="H17" s="23">
        <f>I17*2</f>
        <v/>
      </c>
      <c r="I17" s="15" t="n">
        <v>28000000</v>
      </c>
      <c r="J17" s="46" t="n"/>
      <c r="K17" s="44" t="inlineStr">
        <is>
          <t>Không có</t>
        </is>
      </c>
      <c r="L17" s="44" t="inlineStr">
        <is>
          <t>Không có</t>
        </is>
      </c>
      <c r="M17" s="14" t="inlineStr">
        <is>
          <t>Có</t>
        </is>
      </c>
      <c r="N17" s="14" t="inlineStr">
        <is>
          <t>AQUARIS - Bơm chìm nước thải FS inox.pdf, tr.2</t>
        </is>
      </c>
    </row>
    <row r="18" ht="18" customHeight="1" s="1">
      <c r="A18" s="8" t="n">
        <v>3</v>
      </c>
      <c r="B18" s="8" t="inlineStr">
        <is>
          <t>FS-150-20-15</t>
        </is>
      </c>
      <c r="C18" s="8" t="n">
        <v>15</v>
      </c>
      <c r="D18" s="43" t="n">
        <v>250</v>
      </c>
      <c r="E18" s="8" t="n">
        <v>30</v>
      </c>
      <c r="F18" s="21">
        <f>I18*1.3</f>
        <v/>
      </c>
      <c r="G18" s="22">
        <f>I18*1.6</f>
        <v/>
      </c>
      <c r="H18" s="23">
        <f>I18*2</f>
        <v/>
      </c>
      <c r="I18" s="12" t="n">
        <v>30000000</v>
      </c>
      <c r="J18" s="45" t="n"/>
      <c r="K18" s="44" t="inlineStr">
        <is>
          <t>Không có</t>
        </is>
      </c>
      <c r="L18" s="44" t="inlineStr">
        <is>
          <t>Không có</t>
        </is>
      </c>
      <c r="M18" s="8" t="inlineStr">
        <is>
          <t>Có</t>
        </is>
      </c>
      <c r="N18" s="8" t="inlineStr">
        <is>
          <t>AQUARIS - Bơm chìm nước thải FS inox.pdf, tr.2</t>
        </is>
      </c>
    </row>
  </sheetData>
  <mergeCells count="1">
    <mergeCell ref="J2:J18"/>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P33"/>
  <sheetViews>
    <sheetView zoomScaleNormal="100" workbookViewId="0">
      <pane xSplit="2" ySplit="1" topLeftCell="C2" activePane="bottomRight" state="frozen"/>
      <selection pane="topRight" activeCell="A1" sqref="A1"/>
      <selection pane="bottomLeft" activeCell="A1" sqref="A1"/>
      <selection pane="bottomRight" activeCell="N39" sqref="N39"/>
    </sheetView>
  </sheetViews>
  <sheetFormatPr baseColWidth="8" defaultColWidth="8.7109375" defaultRowHeight="15"/>
  <cols>
    <col width="5" customWidth="1" style="1" min="1" max="1"/>
    <col width="24" customWidth="1" style="1" min="2" max="2"/>
    <col width="12" customWidth="1" style="1" min="3" max="3"/>
    <col width="13" customWidth="1" style="1" min="4" max="9"/>
    <col width="14" customWidth="1" style="1" min="10" max="11"/>
    <col width="16" customWidth="1" style="1" min="12" max="12"/>
    <col width="16" customWidth="1" style="1" min="13" max="13"/>
    <col width="16" customWidth="1" style="1" min="14" max="14"/>
    <col width="40" customWidth="1" style="1" min="15" max="15"/>
    <col width="45" customWidth="1" style="1" min="16" max="16"/>
  </cols>
  <sheetData>
    <row r="1" ht="30" customHeight="1" s="1">
      <c r="A1" s="2" t="inlineStr">
        <is>
          <t>STT</t>
        </is>
      </c>
      <c r="B1" s="2" t="inlineStr">
        <is>
          <t>MODEL</t>
        </is>
      </c>
      <c r="C1" s="2" t="inlineStr">
        <is>
          <t>CÔNG SUẤT (kW)</t>
        </is>
      </c>
      <c r="D1" s="2" t="inlineStr">
        <is>
          <t>Lưu lượng max (m3/h)</t>
        </is>
      </c>
      <c r="E1" s="2" t="inlineStr">
        <is>
          <t>Áp lực max (KPa)</t>
        </is>
      </c>
      <c r="F1" s="3" t="inlineStr">
        <is>
          <t>REDPUMP</t>
        </is>
      </c>
      <c r="G1" s="4" t="inlineStr">
        <is>
          <t>PEROTAC</t>
        </is>
      </c>
      <c r="H1" s="5" t="inlineStr">
        <is>
          <t>AQUARIS</t>
        </is>
      </c>
      <c r="I1" s="6" t="inlineStr">
        <is>
          <t>Giá nhập Tý</t>
        </is>
      </c>
      <c r="J1" s="6" t="inlineStr">
        <is>
          <t>Giá nhập ĐL</t>
        </is>
      </c>
      <c r="K1" s="2" t="inlineStr">
        <is>
          <t>Nhóm</t>
        </is>
      </c>
      <c r="L1" s="42" t="inlineStr">
        <is>
          <t>Có trong catalogue REDPUMP</t>
        </is>
      </c>
      <c r="M1" s="42" t="inlineStr">
        <is>
          <t>Có trong catalogue PEROTAC</t>
        </is>
      </c>
      <c r="N1" s="42" t="inlineStr">
        <is>
          <t>Có trong catalogue AQUARIS</t>
        </is>
      </c>
      <c r="O1" s="42" t="inlineStr">
        <is>
          <t>Nguồn thông số (catalogue đã duyệt)</t>
        </is>
      </c>
      <c r="P1" s="42" t="inlineStr">
        <is>
          <t>Ghi chú</t>
        </is>
      </c>
    </row>
    <row r="2" ht="18" customHeight="1" s="1">
      <c r="A2" s="8" t="n">
        <v>3</v>
      </c>
      <c r="B2" s="8" t="inlineStr">
        <is>
          <t>GB 90</t>
        </is>
      </c>
      <c r="C2" s="8" t="n">
        <v>0.09</v>
      </c>
      <c r="D2" s="8" t="n"/>
      <c r="E2" s="8" t="n"/>
      <c r="F2" s="9" t="n">
        <v>1400000</v>
      </c>
      <c r="G2" s="10" t="n">
        <v>1600000</v>
      </c>
      <c r="H2" s="19" t="n">
        <v>4800000</v>
      </c>
      <c r="I2" s="12" t="n">
        <v>1150000</v>
      </c>
      <c r="J2" s="8" t="inlineStr">
        <is>
          <t>(Trống)</t>
        </is>
      </c>
      <c r="K2" s="39" t="inlineStr">
        <is>
          <t>Con sò 1 tầng cánh</t>
        </is>
      </c>
      <c r="P2" s="44" t="inlineStr">
        <is>
          <t>Không có trong catalogue đã duyệt – giữ nguyên thông số cũ</t>
        </is>
      </c>
    </row>
    <row r="3" ht="18" customHeight="1" s="1">
      <c r="A3" s="14" t="n">
        <v>4</v>
      </c>
      <c r="B3" s="14" t="inlineStr">
        <is>
          <t>GB 200</t>
        </is>
      </c>
      <c r="C3" s="14" t="n">
        <v>0.2</v>
      </c>
      <c r="D3" s="14" t="n"/>
      <c r="E3" s="14" t="n"/>
      <c r="F3" s="9" t="n">
        <v>1600000</v>
      </c>
      <c r="G3" s="10" t="n">
        <v>1800000</v>
      </c>
      <c r="H3" s="19" t="n">
        <v>5500000</v>
      </c>
      <c r="I3" s="15" t="n">
        <v>1250000</v>
      </c>
      <c r="J3" s="14" t="inlineStr">
        <is>
          <t>(Trống)</t>
        </is>
      </c>
      <c r="K3" s="46" t="n"/>
      <c r="P3" s="44" t="inlineStr">
        <is>
          <t>Không có trong catalogue đã duyệt – giữ nguyên thông số cũ</t>
        </is>
      </c>
    </row>
    <row r="4" ht="18" customHeight="1" s="1">
      <c r="A4" s="8" t="n">
        <v>3</v>
      </c>
      <c r="B4" s="8" t="inlineStr">
        <is>
          <t>GB-250</t>
        </is>
      </c>
      <c r="C4" s="8" t="n">
        <v>0.25</v>
      </c>
      <c r="D4" s="8" t="n">
        <v>48</v>
      </c>
      <c r="E4" s="8" t="n">
        <v>12</v>
      </c>
      <c r="F4" s="9" t="n">
        <v>2100000</v>
      </c>
      <c r="G4" s="10" t="n">
        <v>2400000</v>
      </c>
      <c r="H4" s="19" t="n">
        <v>4800000</v>
      </c>
      <c r="I4" s="12" t="n">
        <v>1680000</v>
      </c>
      <c r="J4" s="20" t="n">
        <v>1620000</v>
      </c>
      <c r="K4" s="46" t="n"/>
      <c r="L4" s="8" t="inlineStr">
        <is>
          <t>Có</t>
        </is>
      </c>
      <c r="M4" s="8" t="inlineStr">
        <is>
          <t>Có</t>
        </is>
      </c>
      <c r="N4" s="8" t="inlineStr">
        <is>
          <t>Có</t>
        </is>
      </c>
      <c r="O4" s="8" t="inlineStr">
        <is>
          <t>PEROTAC - Máy thổi khí con sò GB.pdf, tr.3 (hãng khác: REDPUMP, AQUARIS)</t>
        </is>
      </c>
    </row>
    <row r="5" ht="18" customHeight="1" s="1">
      <c r="A5" s="14" t="n">
        <v>4</v>
      </c>
      <c r="B5" s="14" t="inlineStr">
        <is>
          <t>GB-370</t>
        </is>
      </c>
      <c r="C5" s="14" t="n">
        <v>0.37</v>
      </c>
      <c r="D5" s="43" t="n">
        <v>60</v>
      </c>
      <c r="E5" s="43" t="n">
        <v>16</v>
      </c>
      <c r="F5" s="9" t="n">
        <v>2400000</v>
      </c>
      <c r="G5" s="10" t="n">
        <v>2700000</v>
      </c>
      <c r="H5" s="19" t="n">
        <v>5500000</v>
      </c>
      <c r="I5" s="15" t="n">
        <v>1900000</v>
      </c>
      <c r="J5" s="20" t="n">
        <v>1850000</v>
      </c>
      <c r="K5" s="46" t="n"/>
      <c r="L5" s="14" t="inlineStr">
        <is>
          <t>Có</t>
        </is>
      </c>
      <c r="M5" s="14" t="inlineStr">
        <is>
          <t>Có</t>
        </is>
      </c>
      <c r="N5" s="14" t="inlineStr">
        <is>
          <t>Có</t>
        </is>
      </c>
      <c r="O5" s="14" t="inlineStr">
        <is>
          <t>PEROTAC - Máy thổi khí con sò GB.pdf, tr.3 (hãng khác: REDPUMP, AQUARIS)</t>
        </is>
      </c>
    </row>
    <row r="6" ht="18" customHeight="1" s="1">
      <c r="A6" s="8" t="n">
        <v>5</v>
      </c>
      <c r="B6" s="8" t="inlineStr">
        <is>
          <t>GB-550</t>
        </is>
      </c>
      <c r="C6" s="8" t="n">
        <v>0.55</v>
      </c>
      <c r="D6" s="8" t="n">
        <v>110</v>
      </c>
      <c r="E6" s="8" t="n">
        <v>20</v>
      </c>
      <c r="F6" s="9" t="n">
        <v>2900000</v>
      </c>
      <c r="G6" s="10" t="n">
        <v>3300000</v>
      </c>
      <c r="H6" s="19" t="n">
        <v>6400000</v>
      </c>
      <c r="I6" s="12" t="n">
        <v>2350000</v>
      </c>
      <c r="J6" s="20" t="n">
        <v>2160000</v>
      </c>
      <c r="K6" s="46" t="n"/>
      <c r="L6" s="8" t="inlineStr">
        <is>
          <t>Có</t>
        </is>
      </c>
      <c r="M6" s="8" t="inlineStr">
        <is>
          <t>Có</t>
        </is>
      </c>
      <c r="N6" s="8" t="inlineStr">
        <is>
          <t>Có</t>
        </is>
      </c>
      <c r="O6" s="8" t="inlineStr">
        <is>
          <t>PEROTAC - Máy thổi khí con sò GB.pdf, tr.4 (hãng khác: REDPUMP, AQUARIS)</t>
        </is>
      </c>
    </row>
    <row r="7" ht="18" customHeight="1" s="1">
      <c r="A7" s="14" t="n">
        <v>6</v>
      </c>
      <c r="B7" s="14" t="inlineStr">
        <is>
          <t>GB750</t>
        </is>
      </c>
      <c r="C7" s="14" t="n">
        <v>0.75</v>
      </c>
      <c r="D7" s="14" t="n">
        <v>145</v>
      </c>
      <c r="E7" s="14" t="n">
        <v>22</v>
      </c>
      <c r="F7" s="9" t="n">
        <v>3100000</v>
      </c>
      <c r="G7" s="10" t="n">
        <v>3400000</v>
      </c>
      <c r="H7" s="19" t="n">
        <v>7000000</v>
      </c>
      <c r="I7" s="15" t="n">
        <v>2450000</v>
      </c>
      <c r="J7" s="20" t="n">
        <v>2380000</v>
      </c>
      <c r="K7" s="46" t="n"/>
      <c r="L7" s="14" t="inlineStr">
        <is>
          <t>Có</t>
        </is>
      </c>
      <c r="M7" s="14" t="inlineStr">
        <is>
          <t>Có</t>
        </is>
      </c>
      <c r="N7" s="14" t="inlineStr">
        <is>
          <t>Có</t>
        </is>
      </c>
      <c r="O7" s="14" t="inlineStr">
        <is>
          <t>PEROTAC - Máy thổi khí con sò GB.pdf, tr.4 (hãng khác: REDPUMP, AQUARIS)</t>
        </is>
      </c>
    </row>
    <row r="8" ht="18" customHeight="1" s="1">
      <c r="A8" s="8" t="n">
        <v>7</v>
      </c>
      <c r="B8" s="8" t="inlineStr">
        <is>
          <t>GB-1100</t>
        </is>
      </c>
      <c r="C8" s="8" t="n">
        <v>1.1</v>
      </c>
      <c r="D8" s="8" t="n">
        <v>210</v>
      </c>
      <c r="E8" s="8" t="n">
        <v>25</v>
      </c>
      <c r="F8" s="9" t="n">
        <v>3900000</v>
      </c>
      <c r="G8" s="10" t="n">
        <v>4400000</v>
      </c>
      <c r="H8" s="19" t="n">
        <v>9000000</v>
      </c>
      <c r="I8" s="12" t="n">
        <v>3150000</v>
      </c>
      <c r="J8" s="20" t="n">
        <v>3030000</v>
      </c>
      <c r="K8" s="46" t="n"/>
      <c r="L8" s="8" t="inlineStr">
        <is>
          <t>Có</t>
        </is>
      </c>
      <c r="M8" s="8" t="inlineStr">
        <is>
          <t>Có</t>
        </is>
      </c>
      <c r="N8" s="8" t="inlineStr">
        <is>
          <t>Có</t>
        </is>
      </c>
      <c r="O8" s="8" t="inlineStr">
        <is>
          <t>PEROTAC - Máy thổi khí con sò GB.pdf, tr.5 (hãng khác: REDPUMP, AQUARIS)</t>
        </is>
      </c>
    </row>
    <row r="9" ht="18" customHeight="1" s="1">
      <c r="A9" s="14" t="n">
        <v>8</v>
      </c>
      <c r="B9" s="14" t="inlineStr">
        <is>
          <t>GB-1500</t>
        </is>
      </c>
      <c r="C9" s="14" t="n">
        <v>1.5</v>
      </c>
      <c r="D9" s="14" t="n">
        <v>220</v>
      </c>
      <c r="E9" s="14" t="n">
        <v>26</v>
      </c>
      <c r="F9" s="9" t="n">
        <v>4200000</v>
      </c>
      <c r="G9" s="10" t="n">
        <v>4700000</v>
      </c>
      <c r="H9" s="19" t="n">
        <v>9800000</v>
      </c>
      <c r="I9" s="15" t="n">
        <v>3350000</v>
      </c>
      <c r="J9" s="20" t="n">
        <v>3250000</v>
      </c>
      <c r="K9" s="46" t="n"/>
      <c r="L9" s="14" t="inlineStr">
        <is>
          <t>Có</t>
        </is>
      </c>
      <c r="M9" s="14" t="inlineStr">
        <is>
          <t>Có</t>
        </is>
      </c>
      <c r="N9" s="14" t="inlineStr">
        <is>
          <t>Có</t>
        </is>
      </c>
      <c r="O9" s="14" t="inlineStr">
        <is>
          <t>PEROTAC - Máy thổi khí con sò GB.pdf, tr.5 (hãng khác: REDPUMP, AQUARIS)</t>
        </is>
      </c>
    </row>
    <row r="10" ht="18" customHeight="1" s="1">
      <c r="A10" s="8" t="n">
        <v>9</v>
      </c>
      <c r="B10" s="8" t="inlineStr">
        <is>
          <t>GB-2200</t>
        </is>
      </c>
      <c r="C10" s="8" t="n">
        <v>2.2</v>
      </c>
      <c r="D10" s="8" t="n">
        <v>325</v>
      </c>
      <c r="E10" s="8" t="n">
        <v>36</v>
      </c>
      <c r="F10" s="9" t="n">
        <v>6600000</v>
      </c>
      <c r="G10" s="10" t="n">
        <v>7400000</v>
      </c>
      <c r="H10" s="19" t="n">
        <v>15400000</v>
      </c>
      <c r="I10" s="20" t="n">
        <v>5300000</v>
      </c>
      <c r="J10" s="12" t="n">
        <v>5620000</v>
      </c>
      <c r="K10" s="46" t="n"/>
      <c r="L10" s="8" t="inlineStr">
        <is>
          <t>Có</t>
        </is>
      </c>
      <c r="M10" s="8" t="inlineStr">
        <is>
          <t>Có</t>
        </is>
      </c>
      <c r="N10" s="8" t="inlineStr">
        <is>
          <t>Có</t>
        </is>
      </c>
      <c r="O10" s="8" t="inlineStr">
        <is>
          <t>PEROTAC - Máy thổi khí con sò GB.pdf, tr.6 (hãng khác: REDPUMP, AQUARIS)</t>
        </is>
      </c>
    </row>
    <row r="11" ht="18" customHeight="1" s="1">
      <c r="A11" s="14" t="n">
        <v>10</v>
      </c>
      <c r="B11" s="14" t="inlineStr">
        <is>
          <t>GB-750S</t>
        </is>
      </c>
      <c r="C11" s="14" t="n">
        <v>0.75</v>
      </c>
      <c r="D11" s="14" t="n">
        <v>145</v>
      </c>
      <c r="E11" s="14" t="n">
        <v>22</v>
      </c>
      <c r="F11" s="9" t="n">
        <v>3000000</v>
      </c>
      <c r="G11" s="10" t="n">
        <v>3400000</v>
      </c>
      <c r="H11" s="19" t="n">
        <v>7000000</v>
      </c>
      <c r="I11" s="15" t="n">
        <v>2400000</v>
      </c>
      <c r="J11" s="20" t="n">
        <v>2270000</v>
      </c>
      <c r="K11" s="46" t="n"/>
      <c r="L11" s="14" t="inlineStr">
        <is>
          <t>Có</t>
        </is>
      </c>
      <c r="M11" s="14" t="inlineStr">
        <is>
          <t>Có</t>
        </is>
      </c>
      <c r="N11" s="14" t="inlineStr">
        <is>
          <t>Có</t>
        </is>
      </c>
      <c r="O11" s="14" t="inlineStr">
        <is>
          <t>PEROTAC - Máy thổi khí con sò GB.pdf, tr.4 (hãng khác: REDPUMP, AQUARIS)</t>
        </is>
      </c>
    </row>
    <row r="12" ht="18" customHeight="1" s="1">
      <c r="A12" s="8" t="n">
        <v>11</v>
      </c>
      <c r="B12" s="8" t="inlineStr">
        <is>
          <t>GB-1100S</t>
        </is>
      </c>
      <c r="C12" s="8" t="n">
        <v>1.1</v>
      </c>
      <c r="D12" s="8" t="n">
        <v>210</v>
      </c>
      <c r="E12" s="8" t="n">
        <v>25</v>
      </c>
      <c r="F12" s="9" t="n">
        <v>3900000</v>
      </c>
      <c r="G12" s="10" t="n">
        <v>4300000</v>
      </c>
      <c r="H12" s="19" t="n">
        <v>9000000</v>
      </c>
      <c r="I12" s="12" t="n">
        <v>3100000</v>
      </c>
      <c r="J12" s="20" t="n">
        <v>2920000</v>
      </c>
      <c r="K12" s="46" t="n"/>
      <c r="L12" s="8" t="inlineStr">
        <is>
          <t>Có</t>
        </is>
      </c>
      <c r="M12" s="8" t="inlineStr">
        <is>
          <t>Có</t>
        </is>
      </c>
      <c r="N12" s="8" t="inlineStr">
        <is>
          <t>Có</t>
        </is>
      </c>
      <c r="O12" s="8" t="inlineStr">
        <is>
          <t>PEROTAC - Máy thổi khí con sò GB.pdf, tr.5 (hãng khác: REDPUMP, AQUARIS)</t>
        </is>
      </c>
    </row>
    <row r="13" ht="18" customHeight="1" s="1">
      <c r="A13" s="14" t="n">
        <v>12</v>
      </c>
      <c r="B13" s="14" t="inlineStr">
        <is>
          <t>GB-1500S</t>
        </is>
      </c>
      <c r="C13" s="14" t="n">
        <v>1.5</v>
      </c>
      <c r="D13" s="14" t="n">
        <v>220</v>
      </c>
      <c r="E13" s="14" t="n">
        <v>26</v>
      </c>
      <c r="F13" s="9" t="n">
        <v>4100000</v>
      </c>
      <c r="G13" s="10" t="n">
        <v>4600000</v>
      </c>
      <c r="H13" s="19" t="n">
        <v>9800000</v>
      </c>
      <c r="I13" s="15" t="n">
        <v>3300000</v>
      </c>
      <c r="J13" s="20" t="n">
        <v>3130000</v>
      </c>
      <c r="K13" s="46" t="n"/>
      <c r="L13" s="14" t="inlineStr">
        <is>
          <t>Có</t>
        </is>
      </c>
      <c r="M13" s="14" t="inlineStr">
        <is>
          <t>Có</t>
        </is>
      </c>
      <c r="N13" s="14" t="inlineStr">
        <is>
          <t>Có</t>
        </is>
      </c>
      <c r="O13" s="14" t="inlineStr">
        <is>
          <t>PEROTAC - Máy thổi khí con sò GB.pdf, tr.5 (hãng khác: REDPUMP, AQUARIS)</t>
        </is>
      </c>
    </row>
    <row r="14" ht="18" customHeight="1" s="1">
      <c r="A14" s="8" t="n">
        <v>13</v>
      </c>
      <c r="B14" s="8" t="inlineStr">
        <is>
          <t>GB-2200S</t>
        </is>
      </c>
      <c r="C14" s="8" t="n">
        <v>2.2</v>
      </c>
      <c r="D14" s="8" t="n">
        <v>325</v>
      </c>
      <c r="E14" s="8" t="n">
        <v>36</v>
      </c>
      <c r="F14" s="9" t="n">
        <v>5400000</v>
      </c>
      <c r="G14" s="10" t="n">
        <v>6100000</v>
      </c>
      <c r="H14" s="19" t="n">
        <v>12600000</v>
      </c>
      <c r="I14" s="12" t="n">
        <v>4350000</v>
      </c>
      <c r="J14" s="20" t="n">
        <v>4250000</v>
      </c>
      <c r="K14" s="46" t="n"/>
      <c r="L14" s="8" t="inlineStr">
        <is>
          <t>Có</t>
        </is>
      </c>
      <c r="M14" s="8" t="inlineStr">
        <is>
          <t>Có</t>
        </is>
      </c>
      <c r="N14" s="8" t="inlineStr">
        <is>
          <t>Có</t>
        </is>
      </c>
      <c r="O14" s="8" t="inlineStr">
        <is>
          <t>PEROTAC - Máy thổi khí con sò GB.pdf, tr.6 (hãng khác: REDPUMP, AQUARIS)</t>
        </is>
      </c>
    </row>
    <row r="15" ht="18" customHeight="1" s="1">
      <c r="A15" s="14" t="n">
        <v>14</v>
      </c>
      <c r="B15" s="14" t="inlineStr">
        <is>
          <t>GB-3000S</t>
        </is>
      </c>
      <c r="C15" s="14" t="n">
        <v>3</v>
      </c>
      <c r="D15" s="14" t="n">
        <v>390</v>
      </c>
      <c r="E15" s="14" t="n">
        <v>37</v>
      </c>
      <c r="F15" s="9" t="n">
        <v>7400000</v>
      </c>
      <c r="G15" s="10" t="n">
        <v>8300000</v>
      </c>
      <c r="H15" s="19" t="n">
        <v>17200000</v>
      </c>
      <c r="I15" s="15" t="n">
        <v>5950000</v>
      </c>
      <c r="J15" s="20" t="n">
        <v>5832000</v>
      </c>
      <c r="K15" s="46" t="n"/>
      <c r="L15" s="14" t="inlineStr">
        <is>
          <t>Có</t>
        </is>
      </c>
      <c r="M15" s="14" t="inlineStr">
        <is>
          <t>Có</t>
        </is>
      </c>
      <c r="N15" s="14" t="inlineStr">
        <is>
          <t>Có</t>
        </is>
      </c>
      <c r="O15" s="14" t="inlineStr">
        <is>
          <t>PEROTAC - Máy thổi khí con sò GB.pdf, tr.7 (hãng khác: REDPUMP, AQUARIS)</t>
        </is>
      </c>
    </row>
    <row r="16" ht="18" customHeight="1" s="1">
      <c r="A16" s="8" t="n">
        <v>15</v>
      </c>
      <c r="B16" s="8" t="inlineStr">
        <is>
          <t>GB-4000S</t>
        </is>
      </c>
      <c r="C16" s="8" t="n">
        <v>4</v>
      </c>
      <c r="D16" s="8" t="n">
        <v>475</v>
      </c>
      <c r="E16" s="8" t="n">
        <v>38</v>
      </c>
      <c r="F16" s="9" t="n">
        <v>9000000</v>
      </c>
      <c r="G16" s="10" t="n">
        <v>10000000</v>
      </c>
      <c r="H16" s="19" t="n">
        <v>20400000</v>
      </c>
      <c r="I16" s="12" t="n">
        <v>7160000</v>
      </c>
      <c r="J16" s="20" t="n">
        <v>6920000</v>
      </c>
      <c r="K16" s="46" t="n"/>
      <c r="L16" s="8" t="inlineStr">
        <is>
          <t>Có</t>
        </is>
      </c>
      <c r="M16" s="8" t="inlineStr">
        <is>
          <t>Có</t>
        </is>
      </c>
      <c r="N16" s="8" t="inlineStr">
        <is>
          <t>Có</t>
        </is>
      </c>
      <c r="O16" s="8" t="inlineStr">
        <is>
          <t>PEROTAC - Máy thổi khí con sò GB.pdf, tr.7 (hãng khác: REDPUMP, AQUARIS)</t>
        </is>
      </c>
    </row>
    <row r="17" ht="18" customHeight="1" s="1">
      <c r="A17" s="14" t="n">
        <v>16</v>
      </c>
      <c r="B17" s="14" t="inlineStr">
        <is>
          <t>GB-5500S</t>
        </is>
      </c>
      <c r="C17" s="14" t="n">
        <v>5.5</v>
      </c>
      <c r="D17" s="14" t="n">
        <v>530</v>
      </c>
      <c r="E17" s="14" t="n">
        <v>42</v>
      </c>
      <c r="F17" s="9" t="n">
        <v>12300000</v>
      </c>
      <c r="G17" s="10" t="n">
        <v>13700000</v>
      </c>
      <c r="H17" s="19" t="n">
        <v>28000000</v>
      </c>
      <c r="I17" s="15" t="n">
        <v>9800000</v>
      </c>
      <c r="J17" s="20" t="n">
        <v>9500000</v>
      </c>
      <c r="K17" s="46" t="n"/>
      <c r="L17" s="14" t="inlineStr">
        <is>
          <t>Có</t>
        </is>
      </c>
      <c r="M17" s="14" t="inlineStr">
        <is>
          <t>Có</t>
        </is>
      </c>
      <c r="N17" s="14" t="inlineStr">
        <is>
          <t>Có</t>
        </is>
      </c>
      <c r="O17" s="14" t="inlineStr">
        <is>
          <t>PEROTAC - Máy thổi khí con sò GB.pdf, tr.8 (hãng khác: REDPUMP, AQUARIS)</t>
        </is>
      </c>
    </row>
    <row r="18" ht="18" customHeight="1" s="1">
      <c r="A18" s="8" t="n">
        <v>17</v>
      </c>
      <c r="B18" s="8" t="inlineStr">
        <is>
          <t>GB-7500S</t>
        </is>
      </c>
      <c r="C18" s="8" t="n">
        <v>7.5</v>
      </c>
      <c r="D18" s="8" t="n">
        <v>550</v>
      </c>
      <c r="E18" s="8" t="n">
        <v>45</v>
      </c>
      <c r="F18" s="9" t="n">
        <v>13100000</v>
      </c>
      <c r="G18" s="10" t="n">
        <v>14700000</v>
      </c>
      <c r="H18" s="19" t="n">
        <v>30000000</v>
      </c>
      <c r="I18" s="12" t="n">
        <v>10500000</v>
      </c>
      <c r="J18" s="20" t="n">
        <v>10150000</v>
      </c>
      <c r="K18" s="46" t="n"/>
      <c r="L18" s="8" t="inlineStr">
        <is>
          <t>Có</t>
        </is>
      </c>
      <c r="M18" s="8" t="inlineStr">
        <is>
          <t>Có</t>
        </is>
      </c>
      <c r="N18" s="8" t="inlineStr">
        <is>
          <t>Có</t>
        </is>
      </c>
      <c r="O18" s="8" t="inlineStr">
        <is>
          <t>PEROTAC - Máy thổi khí con sò GB.pdf, tr.8 (hãng khác: REDPUMP, AQUARIS)</t>
        </is>
      </c>
    </row>
    <row r="19" ht="18" customHeight="1" s="1">
      <c r="A19" s="14" t="n">
        <v>18</v>
      </c>
      <c r="B19" s="14" t="inlineStr">
        <is>
          <t>GB-9500S</t>
        </is>
      </c>
      <c r="C19" s="14" t="n">
        <v>9.5</v>
      </c>
      <c r="D19" s="15" t="n">
        <v>1000</v>
      </c>
      <c r="E19" s="14" t="n">
        <v>70</v>
      </c>
      <c r="F19" s="9" t="n">
        <v>29800000</v>
      </c>
      <c r="G19" s="10" t="n">
        <v>33400000</v>
      </c>
      <c r="H19" s="19" t="n">
        <v>65000000</v>
      </c>
      <c r="I19" s="15" t="n">
        <v>23850000</v>
      </c>
      <c r="J19" s="20" t="n">
        <v>22680000</v>
      </c>
      <c r="K19" s="46" t="n"/>
      <c r="L19" s="14" t="inlineStr">
        <is>
          <t>Có</t>
        </is>
      </c>
      <c r="M19" s="14" t="inlineStr">
        <is>
          <t>Có</t>
        </is>
      </c>
      <c r="N19" s="14" t="inlineStr">
        <is>
          <t>Có</t>
        </is>
      </c>
      <c r="O19" s="14" t="inlineStr">
        <is>
          <t>PEROTAC - Máy thổi khí con sò GB.pdf, tr.9 (hãng khác: REDPUMP, AQUARIS)</t>
        </is>
      </c>
    </row>
    <row r="20" ht="18" customHeight="1" s="1">
      <c r="A20" s="8" t="n">
        <v>19</v>
      </c>
      <c r="B20" s="8" t="inlineStr">
        <is>
          <t>GB-11000S</t>
        </is>
      </c>
      <c r="C20" s="8" t="n">
        <v>11</v>
      </c>
      <c r="D20" s="47" t="n">
        <v>1050</v>
      </c>
      <c r="E20" s="8" t="n">
        <v>75</v>
      </c>
      <c r="F20" s="9" t="n">
        <v>32500000</v>
      </c>
      <c r="G20" s="10" t="n">
        <v>36400000</v>
      </c>
      <c r="H20" s="19" t="n">
        <v>70200000</v>
      </c>
      <c r="I20" s="12" t="n">
        <v>26000000</v>
      </c>
      <c r="J20" s="20" t="n">
        <v>24840000</v>
      </c>
      <c r="K20" s="46" t="n"/>
      <c r="L20" s="8" t="inlineStr">
        <is>
          <t>Có</t>
        </is>
      </c>
      <c r="M20" s="8" t="inlineStr">
        <is>
          <t>Có</t>
        </is>
      </c>
      <c r="N20" s="8" t="inlineStr">
        <is>
          <t>Có</t>
        </is>
      </c>
      <c r="O20" s="8" t="inlineStr">
        <is>
          <t>PEROTAC - Máy thổi khí con sò GB.pdf, tr.9 (hãng khác: REDPUMP, AQUARIS)</t>
        </is>
      </c>
    </row>
    <row r="21" ht="18" customHeight="1" s="1">
      <c r="A21" s="14" t="n">
        <v>20</v>
      </c>
      <c r="B21" s="14" t="inlineStr">
        <is>
          <t>GB-15000S</t>
        </is>
      </c>
      <c r="C21" s="14" t="n">
        <v>15</v>
      </c>
      <c r="D21" s="47" t="n">
        <v>1050</v>
      </c>
      <c r="E21" s="43" t="n">
        <v>77</v>
      </c>
      <c r="F21" s="9" t="n">
        <v>35000000</v>
      </c>
      <c r="G21" s="10" t="n">
        <v>39200000</v>
      </c>
      <c r="H21" s="19" t="n">
        <v>77000000</v>
      </c>
      <c r="I21" s="15" t="n">
        <v>28000000</v>
      </c>
      <c r="J21" s="20" t="n">
        <v>27000000</v>
      </c>
      <c r="K21" s="45" t="n"/>
      <c r="L21" s="14" t="inlineStr">
        <is>
          <t>Có</t>
        </is>
      </c>
      <c r="M21" s="14" t="inlineStr">
        <is>
          <t>Có</t>
        </is>
      </c>
      <c r="N21" s="14" t="inlineStr">
        <is>
          <t>Có</t>
        </is>
      </c>
      <c r="O21" s="14" t="inlineStr">
        <is>
          <t>PEROTAC - Máy thổi khí con sò GB.pdf, tr.10 (hãng khác: REDPUMP, AQUARIS)</t>
        </is>
      </c>
    </row>
    <row r="22" ht="18" customHeight="1" s="1">
      <c r="A22" s="8" t="n">
        <v>1</v>
      </c>
      <c r="B22" s="8" t="inlineStr">
        <is>
          <t>GB-550/2</t>
        </is>
      </c>
      <c r="C22" s="8" t="n">
        <v>0.55</v>
      </c>
      <c r="D22" s="8" t="n">
        <v>88</v>
      </c>
      <c r="E22" s="8" t="n">
        <v>30</v>
      </c>
      <c r="F22" s="9" t="n">
        <v>4700000</v>
      </c>
      <c r="G22" s="10" t="n">
        <v>5100000</v>
      </c>
      <c r="H22" s="19" t="n">
        <v>11200000</v>
      </c>
      <c r="I22" s="12" t="n">
        <v>3744000</v>
      </c>
      <c r="J22" s="20" t="n">
        <v>3500000</v>
      </c>
      <c r="K22" s="39" t="inlineStr">
        <is>
          <t>Con sò 2 tầng cánh</t>
        </is>
      </c>
      <c r="L22" s="8" t="inlineStr">
        <is>
          <t>Có</t>
        </is>
      </c>
      <c r="M22" s="8" t="inlineStr">
        <is>
          <t>Có</t>
        </is>
      </c>
      <c r="N22" s="8" t="inlineStr">
        <is>
          <t>Có</t>
        </is>
      </c>
      <c r="O22" s="8" t="inlineStr">
        <is>
          <t>PEROTAC - Máy thổi khí con sò GB.pdf, tr.11 (hãng khác: REDPUMP, AQUARIS)</t>
        </is>
      </c>
    </row>
    <row r="23" ht="18" customHeight="1" s="1">
      <c r="A23" s="14" t="n">
        <v>2</v>
      </c>
      <c r="B23" s="14" t="inlineStr">
        <is>
          <t>GB-750/2</t>
        </is>
      </c>
      <c r="C23" s="14" t="n">
        <v>0.75</v>
      </c>
      <c r="D23" s="14" t="n">
        <v>88</v>
      </c>
      <c r="E23" s="14" t="n">
        <v>31</v>
      </c>
      <c r="F23" s="9" t="n">
        <v>5600000</v>
      </c>
      <c r="G23" s="10" t="n">
        <v>6100000</v>
      </c>
      <c r="H23" s="19" t="n">
        <v>13600000</v>
      </c>
      <c r="I23" s="20" t="n">
        <v>4512000</v>
      </c>
      <c r="J23" s="15" t="n">
        <v>4530000</v>
      </c>
      <c r="K23" s="46" t="n"/>
      <c r="L23" s="14" t="inlineStr">
        <is>
          <t>Có</t>
        </is>
      </c>
      <c r="M23" s="14" t="inlineStr">
        <is>
          <t>Có</t>
        </is>
      </c>
      <c r="N23" s="14" t="inlineStr">
        <is>
          <t>Có</t>
        </is>
      </c>
      <c r="O23" s="14" t="inlineStr">
        <is>
          <t>PEROTAC - Máy thổi khí con sò GB.pdf, tr.11 (hãng khác: REDPUMP, AQUARIS)</t>
        </is>
      </c>
    </row>
    <row r="24" ht="18" customHeight="1" s="1">
      <c r="A24" s="8" t="n">
        <v>3</v>
      </c>
      <c r="B24" s="8" t="inlineStr">
        <is>
          <t>GB-1100/2</t>
        </is>
      </c>
      <c r="C24" s="8" t="n">
        <v>1.1</v>
      </c>
      <c r="D24" s="8" t="n">
        <v>145</v>
      </c>
      <c r="E24" s="8" t="n">
        <v>37</v>
      </c>
      <c r="F24" s="9" t="n">
        <v>6800000</v>
      </c>
      <c r="G24" s="10" t="n">
        <v>7400000</v>
      </c>
      <c r="H24" s="19" t="n">
        <v>16800000</v>
      </c>
      <c r="I24" s="20" t="n">
        <v>5472000</v>
      </c>
      <c r="J24" s="12" t="n">
        <v>5620000</v>
      </c>
      <c r="K24" s="46" t="n"/>
      <c r="L24" s="8" t="inlineStr">
        <is>
          <t>Có</t>
        </is>
      </c>
      <c r="M24" s="8" t="inlineStr">
        <is>
          <t>Có</t>
        </is>
      </c>
      <c r="N24" s="8" t="inlineStr">
        <is>
          <t>Có</t>
        </is>
      </c>
      <c r="O24" s="8" t="inlineStr">
        <is>
          <t>PEROTAC - Máy thổi khí con sò GB.pdf, tr.12 (hãng khác: REDPUMP, AQUARIS)</t>
        </is>
      </c>
    </row>
    <row r="25" ht="18" customHeight="1" s="1">
      <c r="A25" s="14" t="n">
        <v>4</v>
      </c>
      <c r="B25" s="14" t="inlineStr">
        <is>
          <t>GB-1500/2</t>
        </is>
      </c>
      <c r="C25" s="14" t="n">
        <v>1.5</v>
      </c>
      <c r="D25" s="14" t="n">
        <v>145</v>
      </c>
      <c r="E25" s="14" t="n">
        <v>38</v>
      </c>
      <c r="F25" s="9" t="n">
        <v>9200000</v>
      </c>
      <c r="G25" s="10" t="n">
        <v>10000000</v>
      </c>
      <c r="H25" s="19" t="n">
        <v>22000000</v>
      </c>
      <c r="I25" s="20" t="n">
        <v>7392000</v>
      </c>
      <c r="J25" s="15" t="n">
        <v>7560000</v>
      </c>
      <c r="K25" s="46" t="n"/>
      <c r="L25" s="14" t="inlineStr">
        <is>
          <t>Có</t>
        </is>
      </c>
      <c r="M25" s="14" t="inlineStr">
        <is>
          <t>Có</t>
        </is>
      </c>
      <c r="N25" s="14" t="inlineStr">
        <is>
          <t>Có</t>
        </is>
      </c>
      <c r="O25" s="14" t="inlineStr">
        <is>
          <t>PEROTAC - Máy thổi khí con sò GB.pdf, tr.12 (hãng khác: REDPUMP, AQUARIS)</t>
        </is>
      </c>
    </row>
    <row r="26" ht="18" customHeight="1" s="1">
      <c r="A26" s="8" t="n">
        <v>5</v>
      </c>
      <c r="B26" s="8" t="inlineStr">
        <is>
          <t>GB-550S/2</t>
        </is>
      </c>
      <c r="C26" s="8" t="n">
        <v>0.55</v>
      </c>
      <c r="D26" s="8" t="n">
        <v>88</v>
      </c>
      <c r="E26" s="8" t="n">
        <v>30</v>
      </c>
      <c r="F26" s="9" t="n">
        <v>4700000</v>
      </c>
      <c r="G26" s="10" t="n">
        <v>5100000</v>
      </c>
      <c r="H26" s="19" t="n">
        <v>11200000</v>
      </c>
      <c r="I26" s="12" t="n">
        <v>3744000</v>
      </c>
      <c r="J26" s="20" t="n">
        <v>3500000</v>
      </c>
      <c r="K26" s="46" t="n"/>
      <c r="L26" s="8" t="inlineStr">
        <is>
          <t>Có</t>
        </is>
      </c>
      <c r="M26" s="8" t="inlineStr">
        <is>
          <t>Có</t>
        </is>
      </c>
      <c r="N26" s="8" t="inlineStr">
        <is>
          <t>Có</t>
        </is>
      </c>
      <c r="O26" s="8" t="inlineStr">
        <is>
          <t>PEROTAC - Máy thổi khí con sò GB.pdf, tr.11 (hãng khác: REDPUMP, AQUARIS)</t>
        </is>
      </c>
    </row>
    <row r="27" ht="18" customHeight="1" s="1">
      <c r="A27" s="14" t="n">
        <v>6</v>
      </c>
      <c r="B27" s="14" t="inlineStr">
        <is>
          <t>GB-750S/2</t>
        </is>
      </c>
      <c r="C27" s="14" t="n">
        <v>0.75</v>
      </c>
      <c r="D27" s="14" t="n">
        <v>88</v>
      </c>
      <c r="E27" s="14" t="n">
        <v>31</v>
      </c>
      <c r="F27" s="9" t="n">
        <v>5600000</v>
      </c>
      <c r="G27" s="10" t="n">
        <v>6100000</v>
      </c>
      <c r="H27" s="19" t="n">
        <v>13600000</v>
      </c>
      <c r="I27" s="20" t="n">
        <v>4512000</v>
      </c>
      <c r="J27" s="15" t="n">
        <v>4530000</v>
      </c>
      <c r="K27" s="46" t="n"/>
      <c r="L27" s="14" t="inlineStr">
        <is>
          <t>Có</t>
        </is>
      </c>
      <c r="M27" s="14" t="inlineStr">
        <is>
          <t>Có</t>
        </is>
      </c>
      <c r="N27" s="14" t="inlineStr">
        <is>
          <t>Có</t>
        </is>
      </c>
      <c r="O27" s="14" t="inlineStr">
        <is>
          <t>PEROTAC - Máy thổi khí con sò GB.pdf, tr.11 (hãng khác: REDPUMP, AQUARIS)</t>
        </is>
      </c>
    </row>
    <row r="28" ht="18" customHeight="1" s="1">
      <c r="A28" s="8" t="n">
        <v>7</v>
      </c>
      <c r="B28" s="8" t="inlineStr">
        <is>
          <t>GB-1100S/2</t>
        </is>
      </c>
      <c r="C28" s="8" t="n">
        <v>1.1</v>
      </c>
      <c r="D28" s="8" t="n">
        <v>145</v>
      </c>
      <c r="E28" s="8" t="n">
        <v>37</v>
      </c>
      <c r="F28" s="9" t="n">
        <v>6800000</v>
      </c>
      <c r="G28" s="10" t="n">
        <v>7400000</v>
      </c>
      <c r="H28" s="19" t="n">
        <v>16800000</v>
      </c>
      <c r="I28" s="20" t="n">
        <v>5472000</v>
      </c>
      <c r="J28" s="12" t="n">
        <v>5620000</v>
      </c>
      <c r="K28" s="46" t="n"/>
      <c r="L28" s="8" t="inlineStr">
        <is>
          <t>Có</t>
        </is>
      </c>
      <c r="M28" s="8" t="inlineStr">
        <is>
          <t>Có</t>
        </is>
      </c>
      <c r="N28" s="8" t="inlineStr">
        <is>
          <t>Có</t>
        </is>
      </c>
      <c r="O28" s="8" t="inlineStr">
        <is>
          <t>PEROTAC - Máy thổi khí con sò GB.pdf, tr.12 (hãng khác: REDPUMP, AQUARIS)</t>
        </is>
      </c>
    </row>
    <row r="29" ht="18" customHeight="1" s="1">
      <c r="A29" s="14" t="n">
        <v>8</v>
      </c>
      <c r="B29" s="14" t="inlineStr">
        <is>
          <t>GB-1500S/2</t>
        </is>
      </c>
      <c r="C29" s="14" t="n">
        <v>1.5</v>
      </c>
      <c r="D29" s="14" t="n">
        <v>145</v>
      </c>
      <c r="E29" s="14" t="n">
        <v>38</v>
      </c>
      <c r="F29" s="9" t="n">
        <v>9200000</v>
      </c>
      <c r="G29" s="10" t="n">
        <v>10000000</v>
      </c>
      <c r="H29" s="19" t="n">
        <v>22200000</v>
      </c>
      <c r="I29" s="20" t="n">
        <v>7392000</v>
      </c>
      <c r="J29" s="15" t="n">
        <v>7560000</v>
      </c>
      <c r="K29" s="46" t="n"/>
      <c r="L29" s="14" t="inlineStr">
        <is>
          <t>Có</t>
        </is>
      </c>
      <c r="M29" s="14" t="inlineStr">
        <is>
          <t>Có</t>
        </is>
      </c>
      <c r="N29" s="14" t="inlineStr">
        <is>
          <t>Có</t>
        </is>
      </c>
      <c r="O29" s="14" t="inlineStr">
        <is>
          <t>PEROTAC - Máy thổi khí con sò GB.pdf, tr.12 (hãng khác: REDPUMP, AQUARIS)</t>
        </is>
      </c>
    </row>
    <row r="30" ht="18" customHeight="1" s="1">
      <c r="A30" s="8" t="n">
        <v>9</v>
      </c>
      <c r="B30" s="8" t="inlineStr">
        <is>
          <t>GB-2200S/2</t>
        </is>
      </c>
      <c r="C30" s="8" t="n">
        <v>2.2</v>
      </c>
      <c r="D30" s="8" t="n">
        <v>220</v>
      </c>
      <c r="E30" s="8" t="n">
        <v>42</v>
      </c>
      <c r="F30" s="9" t="n">
        <v>10600000</v>
      </c>
      <c r="G30" s="10" t="n">
        <v>11400000</v>
      </c>
      <c r="H30" s="19" t="n">
        <v>25800000</v>
      </c>
      <c r="I30" s="20" t="n">
        <v>8448000</v>
      </c>
      <c r="J30" s="12" t="n">
        <v>8850000</v>
      </c>
      <c r="K30" s="46" t="n"/>
      <c r="L30" s="8" t="inlineStr">
        <is>
          <t>Có</t>
        </is>
      </c>
      <c r="M30" s="8" t="inlineStr">
        <is>
          <t>Có</t>
        </is>
      </c>
      <c r="N30" s="8" t="inlineStr">
        <is>
          <t>Có</t>
        </is>
      </c>
      <c r="O30" s="8" t="inlineStr">
        <is>
          <t>PEROTAC - Máy thổi khí con sò GB.pdf, tr.13 (hãng khác: REDPUMP, AQUARIS)</t>
        </is>
      </c>
    </row>
    <row r="31" ht="18" customHeight="1" s="1">
      <c r="A31" s="14" t="n">
        <v>10</v>
      </c>
      <c r="B31" s="14" t="inlineStr">
        <is>
          <t>GB-3000S/2</t>
        </is>
      </c>
      <c r="C31" s="14" t="n">
        <v>3</v>
      </c>
      <c r="D31" s="14" t="n">
        <v>220</v>
      </c>
      <c r="E31" s="43" t="n">
        <v>44</v>
      </c>
      <c r="F31" s="9" t="n">
        <v>12100000</v>
      </c>
      <c r="G31" s="10" t="n">
        <v>13100000</v>
      </c>
      <c r="H31" s="19" t="n">
        <v>29200000</v>
      </c>
      <c r="I31" s="20" t="n">
        <v>9696000</v>
      </c>
      <c r="J31" s="15" t="n">
        <v>9940000</v>
      </c>
      <c r="K31" s="46" t="n"/>
      <c r="L31" s="14" t="inlineStr">
        <is>
          <t>Có</t>
        </is>
      </c>
      <c r="M31" s="14" t="inlineStr">
        <is>
          <t>Có</t>
        </is>
      </c>
      <c r="N31" s="14" t="inlineStr">
        <is>
          <t>Có</t>
        </is>
      </c>
      <c r="O31" s="14" t="inlineStr">
        <is>
          <t>PEROTAC - Máy thổi khí con sò GB.pdf, tr.13 (hãng khác: REDPUMP, AQUARIS)</t>
        </is>
      </c>
    </row>
    <row r="32" ht="18" customHeight="1" s="1">
      <c r="A32" s="8" t="n">
        <v>11</v>
      </c>
      <c r="B32" s="8" t="inlineStr">
        <is>
          <t>GB-4000S/2</t>
        </is>
      </c>
      <c r="C32" s="8" t="n">
        <v>4</v>
      </c>
      <c r="D32" s="8" t="n">
        <v>325</v>
      </c>
      <c r="E32" s="8" t="n">
        <v>57</v>
      </c>
      <c r="F32" s="9" t="n">
        <v>13800000</v>
      </c>
      <c r="G32" s="10" t="n">
        <v>14900000</v>
      </c>
      <c r="H32" s="19" t="n">
        <v>33400000</v>
      </c>
      <c r="I32" s="20" t="n">
        <v>11040000</v>
      </c>
      <c r="J32" s="12" t="n">
        <v>11340000</v>
      </c>
      <c r="K32" s="46" t="n"/>
      <c r="L32" s="8" t="inlineStr">
        <is>
          <t>Có</t>
        </is>
      </c>
      <c r="M32" s="8" t="inlineStr">
        <is>
          <t>Có</t>
        </is>
      </c>
      <c r="N32" s="8" t="inlineStr">
        <is>
          <t>Có</t>
        </is>
      </c>
      <c r="O32" s="8" t="inlineStr">
        <is>
          <t>PEROTAC - Máy thổi khí con sò GB.pdf, tr.14 (hãng khác: REDPUMP, AQUARIS)</t>
        </is>
      </c>
    </row>
    <row r="33" ht="18" customHeight="1" s="1">
      <c r="A33" s="14" t="n">
        <v>12</v>
      </c>
      <c r="B33" s="14" t="inlineStr">
        <is>
          <t>GB-5500S/2</t>
        </is>
      </c>
      <c r="C33" s="14" t="n">
        <v>5.5</v>
      </c>
      <c r="D33" s="14" t="n">
        <v>325</v>
      </c>
      <c r="E33" s="14" t="n">
        <v>63</v>
      </c>
      <c r="F33" s="9" t="n">
        <v>15200000</v>
      </c>
      <c r="G33" s="10" t="n">
        <v>16500000</v>
      </c>
      <c r="H33" s="19" t="n">
        <v>36400000</v>
      </c>
      <c r="I33" s="20" t="n">
        <v>12192000</v>
      </c>
      <c r="J33" s="15" t="n">
        <v>12420000</v>
      </c>
      <c r="K33" s="45" t="n"/>
      <c r="L33" s="14" t="inlineStr">
        <is>
          <t>Có</t>
        </is>
      </c>
      <c r="M33" s="14" t="inlineStr">
        <is>
          <t>Có</t>
        </is>
      </c>
      <c r="N33" s="14" t="inlineStr">
        <is>
          <t>Có</t>
        </is>
      </c>
      <c r="O33" s="14" t="inlineStr">
        <is>
          <t>PEROTAC - Máy thổi khí con sò GB.pdf, tr.14 (hãng khác: REDPUMP, AQUARIS)</t>
        </is>
      </c>
    </row>
  </sheetData>
  <mergeCells count="2">
    <mergeCell ref="K22:K33"/>
    <mergeCell ref="K2:K21"/>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R48"/>
  <sheetViews>
    <sheetView zoomScaleNormal="100" workbookViewId="0">
      <pane xSplit="2" ySplit="1" topLeftCell="C2" activePane="bottomRight" state="frozen"/>
      <selection pane="topRight" activeCell="A1" sqref="A1"/>
      <selection pane="bottomLeft" activeCell="A1" sqref="A1"/>
      <selection pane="bottomRight" activeCell="J52" sqref="J52"/>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24" min="7" max="9"/>
    <col width="14" customWidth="1" style="1" min="10" max="12"/>
    <col width="16" customWidth="1" style="1" min="13" max="13"/>
    <col width="16" customWidth="1" style="1" min="14" max="14"/>
    <col width="16" customWidth="1" style="1" min="15" max="15"/>
    <col width="16" customWidth="1" style="1" min="16" max="16"/>
    <col width="40" customWidth="1" style="1" min="17" max="17"/>
    <col width="45" customWidth="1" style="1" min="18" max="18"/>
  </cols>
  <sheetData>
    <row r="1" ht="30" customHeight="1" s="1">
      <c r="A1" s="2" t="inlineStr">
        <is>
          <t>STT</t>
        </is>
      </c>
      <c r="B1" s="2" t="inlineStr">
        <is>
          <t>MODEL</t>
        </is>
      </c>
      <c r="C1" s="2" t="inlineStr">
        <is>
          <t>Công suất (kW)</t>
        </is>
      </c>
      <c r="D1" s="2" t="inlineStr">
        <is>
          <t>Họng hút/xả (mm)</t>
        </is>
      </c>
      <c r="E1" s="2" t="inlineStr">
        <is>
          <t>Lưu lượng (m3/h)</t>
        </is>
      </c>
      <c r="F1" s="2" t="inlineStr">
        <is>
          <t>Cột áp (m)</t>
        </is>
      </c>
      <c r="G1" s="25" t="inlineStr">
        <is>
          <t>REDPUMP</t>
        </is>
      </c>
      <c r="H1" s="26" t="inlineStr">
        <is>
          <t>PEROTAC</t>
        </is>
      </c>
      <c r="I1" s="27" t="inlineStr">
        <is>
          <t>AQUARIS</t>
        </is>
      </c>
      <c r="J1" s="6" t="inlineStr">
        <is>
          <t>Giá nhập Tý</t>
        </is>
      </c>
      <c r="K1" s="6" t="inlineStr">
        <is>
          <t>Giá nhập TK</t>
        </is>
      </c>
      <c r="L1" s="2" t="inlineStr">
        <is>
          <t>Nhóm</t>
        </is>
      </c>
      <c r="M1" s="42" t="inlineStr">
        <is>
          <t>Có trong catalogue REDPUMP</t>
        </is>
      </c>
      <c r="N1" s="42" t="inlineStr">
        <is>
          <t>Có trong catalogue PEROTAC</t>
        </is>
      </c>
      <c r="O1" s="42" t="inlineStr">
        <is>
          <t>Có trong catalogue AQUARIS</t>
        </is>
      </c>
      <c r="P1" s="42" t="inlineStr">
        <is>
          <t>Họng xả ghi trong catalogue</t>
        </is>
      </c>
      <c r="Q1" s="42" t="inlineStr">
        <is>
          <t>Nguồn thông số (catalogue đã duyệt)</t>
        </is>
      </c>
      <c r="R1" s="42" t="inlineStr">
        <is>
          <t>Ghi chú</t>
        </is>
      </c>
    </row>
    <row r="2" ht="18" customHeight="1" s="1">
      <c r="A2" s="14" t="n">
        <v>6</v>
      </c>
      <c r="B2" s="14" t="inlineStr">
        <is>
          <t>CDLF2-7</t>
        </is>
      </c>
      <c r="C2" s="14" t="n">
        <v>0.75</v>
      </c>
      <c r="D2" s="8" t="inlineStr">
        <is>
          <t>DN25</t>
        </is>
      </c>
      <c r="E2" s="14" t="inlineStr">
        <is>
          <t>1 - 3.5</t>
        </is>
      </c>
      <c r="F2" s="14" t="inlineStr">
        <is>
          <t>28 - 63</t>
        </is>
      </c>
      <c r="G2" s="9" t="n">
        <v>7600000</v>
      </c>
      <c r="H2" s="10" t="n">
        <v>8600000</v>
      </c>
      <c r="I2" s="19" t="n">
        <v>14500000</v>
      </c>
      <c r="J2" s="14" t="n"/>
      <c r="K2" s="14" t="n"/>
      <c r="L2" s="39" t="n"/>
      <c r="M2" s="14" t="inlineStr">
        <is>
          <t>Có</t>
        </is>
      </c>
      <c r="N2" s="14" t="inlineStr">
        <is>
          <t>Có</t>
        </is>
      </c>
      <c r="O2" s="14" t="inlineStr">
        <is>
          <t>Có</t>
        </is>
      </c>
      <c r="P2" s="14" t="inlineStr">
        <is>
          <t>1" / 1"</t>
        </is>
      </c>
      <c r="Q2" s="14" t="inlineStr">
        <is>
          <t>PEROTAC - Bơm trục đứng CDLF.pdf, tr.3 (hãng khác: REDPUMP, AQUARIS)</t>
        </is>
      </c>
    </row>
    <row r="3" ht="18" customHeight="1" s="1">
      <c r="A3" s="14" t="n">
        <v>8</v>
      </c>
      <c r="B3" s="14" t="inlineStr">
        <is>
          <t>CDLF2-9</t>
        </is>
      </c>
      <c r="C3" s="14" t="n">
        <v>1.1</v>
      </c>
      <c r="D3" s="8" t="inlineStr">
        <is>
          <t>DN25</t>
        </is>
      </c>
      <c r="E3" s="14" t="inlineStr">
        <is>
          <t>1 - 3.5</t>
        </is>
      </c>
      <c r="F3" s="14" t="inlineStr">
        <is>
          <t>37 - 80</t>
        </is>
      </c>
      <c r="G3" s="9" t="n">
        <v>8000000</v>
      </c>
      <c r="H3" s="10" t="n">
        <v>9000000</v>
      </c>
      <c r="I3" s="19" t="n">
        <v>15000000</v>
      </c>
      <c r="J3" s="14" t="n"/>
      <c r="K3" s="14" t="n"/>
      <c r="L3" s="46" t="n"/>
      <c r="M3" s="14" t="inlineStr">
        <is>
          <t>Có</t>
        </is>
      </c>
      <c r="N3" s="14" t="inlineStr">
        <is>
          <t>Có</t>
        </is>
      </c>
      <c r="O3" s="14" t="inlineStr">
        <is>
          <t>Có</t>
        </is>
      </c>
      <c r="P3" s="14" t="inlineStr">
        <is>
          <t>1" / 1"</t>
        </is>
      </c>
      <c r="Q3" s="14" t="inlineStr">
        <is>
          <t>PEROTAC - Bơm trục đứng CDLF.pdf, tr.3 (hãng khác: REDPUMP, AQUARIS)</t>
        </is>
      </c>
    </row>
    <row r="4" ht="18" customHeight="1" s="1">
      <c r="A4" s="14" t="n">
        <v>10</v>
      </c>
      <c r="B4" s="14" t="inlineStr">
        <is>
          <t>CDLF2-15</t>
        </is>
      </c>
      <c r="C4" s="14" t="n">
        <v>1.5</v>
      </c>
      <c r="D4" s="8" t="inlineStr">
        <is>
          <t>DN25</t>
        </is>
      </c>
      <c r="E4" s="14" t="inlineStr">
        <is>
          <t>1 - 3.5</t>
        </is>
      </c>
      <c r="F4" s="14" t="inlineStr">
        <is>
          <t>60 - 134</t>
        </is>
      </c>
      <c r="G4" s="9" t="n">
        <v>8100000</v>
      </c>
      <c r="H4" s="10" t="n">
        <v>9100000</v>
      </c>
      <c r="I4" s="19" t="n">
        <v>15200000</v>
      </c>
      <c r="J4" s="15" t="n">
        <v>6300000</v>
      </c>
      <c r="K4" s="20" t="n">
        <v>6200000</v>
      </c>
      <c r="L4" s="46" t="n"/>
      <c r="M4" s="14" t="inlineStr">
        <is>
          <t>Có</t>
        </is>
      </c>
      <c r="N4" s="14" t="inlineStr">
        <is>
          <t>Có</t>
        </is>
      </c>
      <c r="O4" s="14" t="inlineStr">
        <is>
          <t>Có</t>
        </is>
      </c>
      <c r="P4" s="14" t="inlineStr">
        <is>
          <t>1" / 1"</t>
        </is>
      </c>
      <c r="Q4" s="14" t="inlineStr">
        <is>
          <t>PEROTAC - Bơm trục đứng CDLF.pdf, tr.3 (hãng khác: REDPUMP, AQUARIS)</t>
        </is>
      </c>
    </row>
    <row r="5" ht="18" customHeight="1" s="1">
      <c r="A5" s="14" t="n">
        <v>10</v>
      </c>
      <c r="B5" s="14" t="inlineStr">
        <is>
          <t>CDLF2-15 1 Pha</t>
        </is>
      </c>
      <c r="C5" s="14" t="n">
        <v>1.5</v>
      </c>
      <c r="D5" s="8" t="inlineStr">
        <is>
          <t>DN25</t>
        </is>
      </c>
      <c r="E5" s="14" t="inlineStr">
        <is>
          <t>1 - 3.5</t>
        </is>
      </c>
      <c r="F5" s="14" t="inlineStr">
        <is>
          <t>60 - 134</t>
        </is>
      </c>
      <c r="G5" s="9" t="n">
        <v>8300000</v>
      </c>
      <c r="H5" s="10" t="n">
        <v>9200000</v>
      </c>
      <c r="I5" s="19" t="n">
        <v>15700000</v>
      </c>
      <c r="J5" s="15" t="n">
        <v>6600000</v>
      </c>
      <c r="K5" s="20" t="n">
        <v>6500000</v>
      </c>
      <c r="L5" s="46" t="n"/>
      <c r="M5" s="14" t="inlineStr">
        <is>
          <t>Có</t>
        </is>
      </c>
      <c r="N5" s="14" t="inlineStr">
        <is>
          <t>Có</t>
        </is>
      </c>
      <c r="O5" s="14" t="inlineStr">
        <is>
          <t>Có</t>
        </is>
      </c>
      <c r="P5" s="14" t="inlineStr">
        <is>
          <t>1" / 1"</t>
        </is>
      </c>
      <c r="Q5" s="14" t="inlineStr">
        <is>
          <t>PEROTAC - Bơm trục đứng CDLF.pdf, tr.3 (hãng khác: REDPUMP, AQUARIS)</t>
        </is>
      </c>
    </row>
    <row r="6" ht="18" customHeight="1" s="1">
      <c r="A6" s="8" t="n">
        <v>11</v>
      </c>
      <c r="B6" s="8" t="inlineStr">
        <is>
          <t>CDLF2-18</t>
        </is>
      </c>
      <c r="C6" s="8" t="n">
        <v>2.2</v>
      </c>
      <c r="D6" s="8" t="inlineStr">
        <is>
          <t>DN25</t>
        </is>
      </c>
      <c r="E6" s="8" t="inlineStr">
        <is>
          <t>1 - 3.5</t>
        </is>
      </c>
      <c r="F6" s="8" t="inlineStr">
        <is>
          <t>76 - 161</t>
        </is>
      </c>
      <c r="G6" s="9" t="n">
        <v>9000000</v>
      </c>
      <c r="H6" s="10" t="n">
        <v>10500000</v>
      </c>
      <c r="I6" s="19" t="n">
        <v>18000000</v>
      </c>
      <c r="J6" s="28" t="n">
        <v>7200000</v>
      </c>
      <c r="K6" s="20" t="n">
        <v>7200000</v>
      </c>
      <c r="L6" s="46" t="n"/>
      <c r="M6" s="8" t="inlineStr">
        <is>
          <t>Có</t>
        </is>
      </c>
      <c r="N6" s="8" t="inlineStr">
        <is>
          <t>Có</t>
        </is>
      </c>
      <c r="O6" s="8" t="inlineStr">
        <is>
          <t>Có</t>
        </is>
      </c>
      <c r="P6" s="8" t="inlineStr">
        <is>
          <t>1" / 1"</t>
        </is>
      </c>
      <c r="Q6" s="8" t="inlineStr">
        <is>
          <t>PEROTAC - Bơm trục đứng CDLF.pdf, tr.3 (hãng khác: REDPUMP, AQUARIS)</t>
        </is>
      </c>
    </row>
    <row r="7" ht="18" customHeight="1" s="1">
      <c r="A7" s="8" t="n">
        <v>11</v>
      </c>
      <c r="B7" s="8" t="inlineStr">
        <is>
          <t>CDLF2-18 1 Pha</t>
        </is>
      </c>
      <c r="C7" s="8" t="n">
        <v>2.2</v>
      </c>
      <c r="D7" s="8" t="inlineStr">
        <is>
          <t>DN25</t>
        </is>
      </c>
      <c r="E7" s="8" t="inlineStr">
        <is>
          <t>1 - 3.5</t>
        </is>
      </c>
      <c r="F7" s="8" t="inlineStr">
        <is>
          <t>76 - 161</t>
        </is>
      </c>
      <c r="G7" s="9" t="n">
        <v>10300000</v>
      </c>
      <c r="H7" s="10" t="n">
        <v>11500000</v>
      </c>
      <c r="I7" s="19" t="n">
        <v>19500000</v>
      </c>
      <c r="J7" s="28" t="n">
        <v>8200000</v>
      </c>
      <c r="K7" s="20" t="n">
        <v>8200000</v>
      </c>
      <c r="L7" s="46" t="n"/>
      <c r="M7" s="8" t="inlineStr">
        <is>
          <t>Có</t>
        </is>
      </c>
      <c r="N7" s="8" t="inlineStr">
        <is>
          <t>Có</t>
        </is>
      </c>
      <c r="O7" s="8" t="inlineStr">
        <is>
          <t>Có</t>
        </is>
      </c>
      <c r="P7" s="8" t="inlineStr">
        <is>
          <t>1" / 1"</t>
        </is>
      </c>
      <c r="Q7" s="8" t="inlineStr">
        <is>
          <t>PEROTAC - Bơm trục đứng CDLF.pdf, tr.3 (hãng khác: REDPUMP, AQUARIS)</t>
        </is>
      </c>
    </row>
    <row r="8" ht="18" customHeight="1" s="1">
      <c r="A8" s="8" t="n">
        <v>13</v>
      </c>
      <c r="B8" s="8" t="inlineStr">
        <is>
          <t>CDLF2-26</t>
        </is>
      </c>
      <c r="C8" s="8" t="n">
        <v>3</v>
      </c>
      <c r="D8" s="8" t="inlineStr">
        <is>
          <t>DN25</t>
        </is>
      </c>
      <c r="E8" s="8" t="inlineStr">
        <is>
          <t>1 - 3.5</t>
        </is>
      </c>
      <c r="F8" s="8" t="inlineStr">
        <is>
          <t>110 - 232</t>
        </is>
      </c>
      <c r="G8" s="9" t="n">
        <v>9900000</v>
      </c>
      <c r="H8" s="10" t="n">
        <v>11100000</v>
      </c>
      <c r="I8" s="19" t="n">
        <v>18900000</v>
      </c>
      <c r="J8" s="12" t="n">
        <v>7900000</v>
      </c>
      <c r="K8" s="20" t="n">
        <v>7700000</v>
      </c>
      <c r="L8" s="46" t="n"/>
      <c r="M8" s="8" t="inlineStr">
        <is>
          <t>Có</t>
        </is>
      </c>
      <c r="N8" s="8" t="inlineStr">
        <is>
          <t>Có</t>
        </is>
      </c>
      <c r="O8" s="8" t="inlineStr">
        <is>
          <t>Có</t>
        </is>
      </c>
      <c r="P8" s="8" t="inlineStr">
        <is>
          <t>1" / 1"</t>
        </is>
      </c>
      <c r="Q8" s="8" t="inlineStr">
        <is>
          <t>PEROTAC - Bơm trục đứng CDLF.pdf, tr.3 (hãng khác: REDPUMP, AQUARIS)</t>
        </is>
      </c>
    </row>
    <row r="9" ht="18" customHeight="1" s="1">
      <c r="A9" s="8" t="n">
        <v>22</v>
      </c>
      <c r="B9" s="8" t="inlineStr">
        <is>
          <t>CDLF4-12</t>
        </is>
      </c>
      <c r="C9" s="8" t="n">
        <v>2.2</v>
      </c>
      <c r="D9" s="14" t="inlineStr">
        <is>
          <t>DN32</t>
        </is>
      </c>
      <c r="E9" s="8" t="inlineStr">
        <is>
          <t>1.5 - 7.0</t>
        </is>
      </c>
      <c r="F9" s="8" t="inlineStr">
        <is>
          <t>58 - 114</t>
        </is>
      </c>
      <c r="G9" s="9" t="n">
        <v>8300000</v>
      </c>
      <c r="H9" s="10" t="n">
        <v>9200000</v>
      </c>
      <c r="I9" s="19" t="n">
        <v>15800000</v>
      </c>
      <c r="J9" s="28" t="n">
        <v>6700000</v>
      </c>
      <c r="K9" s="20" t="n">
        <v>6600000</v>
      </c>
      <c r="L9" s="46" t="n"/>
      <c r="M9" s="8" t="inlineStr">
        <is>
          <t>Có</t>
        </is>
      </c>
      <c r="N9" s="8" t="inlineStr">
        <is>
          <t>Có</t>
        </is>
      </c>
      <c r="O9" s="8" t="inlineStr">
        <is>
          <t>Có</t>
        </is>
      </c>
      <c r="P9" s="8" t="inlineStr">
        <is>
          <t>1.25" / 1.25"</t>
        </is>
      </c>
      <c r="Q9" s="8" t="inlineStr">
        <is>
          <t>PEROTAC - Bơm trục đứng CDLF.pdf, tr.4 (hãng khác: REDPUMP, AQUARIS)</t>
        </is>
      </c>
    </row>
    <row r="10" ht="18" customHeight="1" s="1">
      <c r="A10" s="8" t="n">
        <v>22</v>
      </c>
      <c r="B10" s="8" t="inlineStr">
        <is>
          <t>CDLF4-12 1 Pha</t>
        </is>
      </c>
      <c r="C10" s="8" t="n">
        <v>2.2</v>
      </c>
      <c r="D10" s="14" t="inlineStr">
        <is>
          <t>DN32</t>
        </is>
      </c>
      <c r="E10" s="8" t="inlineStr">
        <is>
          <t>1.5 - 7.0</t>
        </is>
      </c>
      <c r="F10" s="8" t="inlineStr">
        <is>
          <t>58 - 114</t>
        </is>
      </c>
      <c r="G10" s="9" t="n">
        <v>9800000</v>
      </c>
      <c r="H10" s="10" t="n">
        <v>11000000</v>
      </c>
      <c r="I10" s="19" t="n">
        <v>18600000</v>
      </c>
      <c r="J10" s="28" t="n">
        <v>7600000</v>
      </c>
      <c r="K10" s="20" t="n">
        <v>7500000</v>
      </c>
      <c r="L10" s="46" t="n"/>
      <c r="M10" s="8" t="inlineStr">
        <is>
          <t>Có</t>
        </is>
      </c>
      <c r="N10" s="8" t="inlineStr">
        <is>
          <t>Có</t>
        </is>
      </c>
      <c r="O10" s="8" t="inlineStr">
        <is>
          <t>Có</t>
        </is>
      </c>
      <c r="P10" s="8" t="inlineStr">
        <is>
          <t>1.25" / 1.25"</t>
        </is>
      </c>
      <c r="Q10" s="8" t="inlineStr">
        <is>
          <t>PEROTAC - Bơm trục đứng CDLF.pdf, tr.4 (hãng khác: REDPUMP, AQUARIS)</t>
        </is>
      </c>
    </row>
    <row r="11" ht="18" customHeight="1" s="1">
      <c r="A11" s="8" t="n">
        <v>24</v>
      </c>
      <c r="B11" s="8" t="inlineStr">
        <is>
          <t>CDLF4-16</t>
        </is>
      </c>
      <c r="C11" s="8" t="n">
        <v>3</v>
      </c>
      <c r="D11" s="14" t="inlineStr">
        <is>
          <t>DN32</t>
        </is>
      </c>
      <c r="E11" s="8" t="inlineStr">
        <is>
          <t>1.5 - 7.0</t>
        </is>
      </c>
      <c r="F11" s="8" t="inlineStr">
        <is>
          <t>78 - 152</t>
        </is>
      </c>
      <c r="G11" s="9" t="n">
        <v>9900000</v>
      </c>
      <c r="H11" s="10" t="n">
        <v>11100000</v>
      </c>
      <c r="I11" s="19" t="n">
        <v>18900000</v>
      </c>
      <c r="J11" s="12" t="n">
        <v>7900000</v>
      </c>
      <c r="K11" s="20" t="n">
        <v>7700000</v>
      </c>
      <c r="L11" s="46" t="n"/>
      <c r="M11" s="8" t="inlineStr">
        <is>
          <t>Có</t>
        </is>
      </c>
      <c r="N11" s="8" t="inlineStr">
        <is>
          <t>Có</t>
        </is>
      </c>
      <c r="O11" s="8" t="inlineStr">
        <is>
          <t>Có</t>
        </is>
      </c>
      <c r="P11" s="8" t="inlineStr">
        <is>
          <t>1.25" / 1.25"</t>
        </is>
      </c>
      <c r="Q11" s="8" t="inlineStr">
        <is>
          <t>PEROTAC - Bơm trục đứng CDLF.pdf, tr.4 (hãng khác: REDPUMP, AQUARIS)</t>
        </is>
      </c>
    </row>
    <row r="12" ht="18" customHeight="1" s="1">
      <c r="A12" s="14" t="n">
        <v>25</v>
      </c>
      <c r="B12" s="14" t="inlineStr">
        <is>
          <t>CDLF4-19</t>
        </is>
      </c>
      <c r="C12" s="14" t="n">
        <v>4</v>
      </c>
      <c r="D12" s="14" t="inlineStr">
        <is>
          <t>DN32</t>
        </is>
      </c>
      <c r="E12" s="14" t="inlineStr">
        <is>
          <t>1.5 - 7.0</t>
        </is>
      </c>
      <c r="F12" s="14" t="inlineStr">
        <is>
          <t>93 - 183</t>
        </is>
      </c>
      <c r="G12" s="9" t="n">
        <v>11900000</v>
      </c>
      <c r="H12" s="10" t="n">
        <v>13300000</v>
      </c>
      <c r="I12" s="19" t="n">
        <v>22500000</v>
      </c>
      <c r="J12" s="15" t="n">
        <v>9500000</v>
      </c>
      <c r="K12" s="20" t="n">
        <v>9400000</v>
      </c>
      <c r="L12" s="46" t="n"/>
      <c r="M12" s="14" t="inlineStr">
        <is>
          <t>Có</t>
        </is>
      </c>
      <c r="N12" s="14" t="inlineStr">
        <is>
          <t>Có</t>
        </is>
      </c>
      <c r="O12" s="14" t="inlineStr">
        <is>
          <t>Có</t>
        </is>
      </c>
      <c r="P12" s="14" t="inlineStr">
        <is>
          <t>1.25" / 1.25"</t>
        </is>
      </c>
      <c r="Q12" s="14" t="inlineStr">
        <is>
          <t>PEROTAC - Bơm trục đứng CDLF.pdf, tr.4 (hãng khác: REDPUMP, AQUARIS)</t>
        </is>
      </c>
    </row>
    <row r="13" ht="18" customHeight="1" s="1">
      <c r="A13" s="8" t="n">
        <v>32</v>
      </c>
      <c r="B13" s="8" t="inlineStr">
        <is>
          <t>CDLF8-8</t>
        </is>
      </c>
      <c r="C13" s="8" t="n">
        <v>3</v>
      </c>
      <c r="D13" s="8" t="inlineStr">
        <is>
          <t>DN40</t>
        </is>
      </c>
      <c r="E13" s="8" t="inlineStr">
        <is>
          <t>5 - 12</t>
        </is>
      </c>
      <c r="F13" s="8" t="inlineStr">
        <is>
          <t>52 - 83</t>
        </is>
      </c>
      <c r="G13" s="9" t="n">
        <v>9900000</v>
      </c>
      <c r="H13" s="10" t="n">
        <v>11100000</v>
      </c>
      <c r="I13" s="19" t="n">
        <v>18900000</v>
      </c>
      <c r="J13" s="12" t="n">
        <v>7900000</v>
      </c>
      <c r="K13" s="20" t="n">
        <v>7700000</v>
      </c>
      <c r="L13" s="46" t="n"/>
      <c r="M13" s="8" t="inlineStr">
        <is>
          <t>Có</t>
        </is>
      </c>
      <c r="N13" s="8" t="inlineStr">
        <is>
          <t>Có</t>
        </is>
      </c>
      <c r="O13" s="8" t="inlineStr">
        <is>
          <t>Có</t>
        </is>
      </c>
      <c r="P13" s="8" t="inlineStr">
        <is>
          <t>1.5" / 1.5"</t>
        </is>
      </c>
      <c r="Q13" s="8" t="inlineStr">
        <is>
          <t>PEROTAC - Bơm trục đứng CDLF.pdf, tr.5 (hãng khác: REDPUMP, AQUARIS)</t>
        </is>
      </c>
    </row>
    <row r="14" ht="18" customHeight="1" s="1">
      <c r="A14" s="8" t="n">
        <v>34</v>
      </c>
      <c r="B14" s="8" t="inlineStr">
        <is>
          <t>CDLF8-12</t>
        </is>
      </c>
      <c r="C14" s="8" t="n">
        <v>4</v>
      </c>
      <c r="D14" s="8" t="inlineStr">
        <is>
          <t>DN40</t>
        </is>
      </c>
      <c r="E14" s="8" t="inlineStr">
        <is>
          <t>5 - 12</t>
        </is>
      </c>
      <c r="F14" s="8" t="inlineStr">
        <is>
          <t>78 - 124</t>
        </is>
      </c>
      <c r="G14" s="9" t="n">
        <v>15500000</v>
      </c>
      <c r="H14" s="10" t="n">
        <v>17500000</v>
      </c>
      <c r="I14" s="19" t="n">
        <v>29800000</v>
      </c>
      <c r="J14" s="12" t="n">
        <v>12100000</v>
      </c>
      <c r="K14" s="20" t="n">
        <v>12000000</v>
      </c>
      <c r="L14" s="46" t="n"/>
      <c r="M14" s="8" t="inlineStr">
        <is>
          <t>Có</t>
        </is>
      </c>
      <c r="N14" s="8" t="inlineStr">
        <is>
          <t>Có</t>
        </is>
      </c>
      <c r="O14" s="8" t="inlineStr">
        <is>
          <t>Có</t>
        </is>
      </c>
      <c r="P14" s="8" t="inlineStr">
        <is>
          <t>1.5" / 1.5"</t>
        </is>
      </c>
      <c r="Q14" s="8" t="inlineStr">
        <is>
          <t>PEROTAC - Bơm trục đứng CDLF.pdf, tr.5 (hãng khác: REDPUMP, AQUARIS)</t>
        </is>
      </c>
    </row>
    <row r="15" ht="18" customHeight="1" s="1">
      <c r="A15" s="8" t="n">
        <v>36</v>
      </c>
      <c r="B15" s="8" t="inlineStr">
        <is>
          <t>CDLF8-16</t>
        </is>
      </c>
      <c r="C15" s="8" t="n">
        <v>5.5</v>
      </c>
      <c r="D15" s="8" t="inlineStr">
        <is>
          <t>DN40</t>
        </is>
      </c>
      <c r="E15" s="8" t="inlineStr">
        <is>
          <t>5 - 12</t>
        </is>
      </c>
      <c r="F15" s="8" t="inlineStr">
        <is>
          <t>106 - 166</t>
        </is>
      </c>
      <c r="G15" s="9" t="n">
        <v>17800000</v>
      </c>
      <c r="H15" s="10" t="n">
        <v>19900000</v>
      </c>
      <c r="I15" s="19" t="n">
        <v>33700000</v>
      </c>
      <c r="J15" s="12" t="n">
        <v>14200000</v>
      </c>
      <c r="K15" s="20" t="n">
        <v>14000000</v>
      </c>
      <c r="L15" s="46" t="n"/>
      <c r="M15" s="8" t="inlineStr">
        <is>
          <t>Có</t>
        </is>
      </c>
      <c r="N15" s="8" t="inlineStr">
        <is>
          <t>Có</t>
        </is>
      </c>
      <c r="O15" s="8" t="inlineStr">
        <is>
          <t>Có</t>
        </is>
      </c>
      <c r="P15" s="8" t="inlineStr">
        <is>
          <t>1.5" / 1.5"</t>
        </is>
      </c>
      <c r="Q15" s="8" t="inlineStr">
        <is>
          <t>PEROTAC - Bơm trục đứng CDLF.pdf, tr.5 (hãng khác: REDPUMP, AQUARIS)</t>
        </is>
      </c>
    </row>
    <row r="16" ht="18" customHeight="1" s="1">
      <c r="A16" s="8" t="n">
        <v>38</v>
      </c>
      <c r="B16" s="8" t="inlineStr">
        <is>
          <t>CDLF8-20</t>
        </is>
      </c>
      <c r="C16" s="8" t="n">
        <v>7.5</v>
      </c>
      <c r="D16" s="8" t="inlineStr">
        <is>
          <t>DN40</t>
        </is>
      </c>
      <c r="E16" s="8" t="inlineStr">
        <is>
          <t>5 - 12</t>
        </is>
      </c>
      <c r="F16" s="8" t="inlineStr">
        <is>
          <t>135 - 208</t>
        </is>
      </c>
      <c r="G16" s="9" t="n">
        <v>20600000</v>
      </c>
      <c r="H16" s="10" t="n">
        <v>23100000</v>
      </c>
      <c r="I16" s="19" t="n">
        <v>37800000</v>
      </c>
      <c r="J16" s="12" t="n">
        <v>16500000</v>
      </c>
      <c r="K16" s="20" t="n">
        <v>16200000</v>
      </c>
      <c r="L16" s="46" t="n"/>
      <c r="M16" s="8" t="inlineStr">
        <is>
          <t>Có</t>
        </is>
      </c>
      <c r="N16" s="8" t="inlineStr">
        <is>
          <t>Có</t>
        </is>
      </c>
      <c r="O16" s="8" t="inlineStr">
        <is>
          <t>Có</t>
        </is>
      </c>
      <c r="P16" s="8" t="inlineStr">
        <is>
          <t>1.5" / 1.5"</t>
        </is>
      </c>
      <c r="Q16" s="8" t="inlineStr">
        <is>
          <t>PEROTAC - Bơm trục đứng CDLF.pdf, tr.5 (hãng khác: REDPUMP, AQUARIS)</t>
        </is>
      </c>
    </row>
    <row r="17" ht="18" customHeight="1" s="1">
      <c r="A17" s="14" t="n">
        <v>43</v>
      </c>
      <c r="B17" s="14" t="inlineStr">
        <is>
          <t>CDLF12-6</t>
        </is>
      </c>
      <c r="C17" s="14" t="n">
        <v>4</v>
      </c>
      <c r="D17" s="14" t="inlineStr">
        <is>
          <t>DN50</t>
        </is>
      </c>
      <c r="E17" s="14" t="inlineStr">
        <is>
          <t>7 - 16</t>
        </is>
      </c>
      <c r="F17" s="14" t="inlineStr">
        <is>
          <t>42 - 71.5</t>
        </is>
      </c>
      <c r="G17" s="9" t="n">
        <v>15500000</v>
      </c>
      <c r="H17" s="10" t="n">
        <v>17500000</v>
      </c>
      <c r="I17" s="19" t="n">
        <v>29800000</v>
      </c>
      <c r="J17" s="12" t="n">
        <v>12100000</v>
      </c>
      <c r="K17" s="20" t="n">
        <v>12000000</v>
      </c>
      <c r="L17" s="46" t="n"/>
      <c r="M17" s="14" t="inlineStr">
        <is>
          <t>Có</t>
        </is>
      </c>
      <c r="N17" s="14" t="inlineStr">
        <is>
          <t>Có</t>
        </is>
      </c>
      <c r="O17" s="14" t="inlineStr">
        <is>
          <t>Có</t>
        </is>
      </c>
      <c r="P17" s="14" t="inlineStr">
        <is>
          <t>2" / 2"</t>
        </is>
      </c>
      <c r="Q17" s="14" t="inlineStr">
        <is>
          <t>PEROTAC - Bơm trục đứng CDLF.pdf, tr.6 (hãng khác: REDPUMP, AQUARIS)</t>
        </is>
      </c>
    </row>
    <row r="18" ht="18" customHeight="1" s="1">
      <c r="A18" s="14" t="n">
        <v>45</v>
      </c>
      <c r="B18" s="14" t="inlineStr">
        <is>
          <t>CDLF12-8</t>
        </is>
      </c>
      <c r="C18" s="14" t="n">
        <v>5.5</v>
      </c>
      <c r="D18" s="14" t="inlineStr">
        <is>
          <t>DN50</t>
        </is>
      </c>
      <c r="E18" s="14" t="inlineStr">
        <is>
          <t>7 - 16</t>
        </is>
      </c>
      <c r="F18" s="14" t="inlineStr">
        <is>
          <t>56 - 95.5</t>
        </is>
      </c>
      <c r="G18" s="9" t="n">
        <v>17800000</v>
      </c>
      <c r="H18" s="10" t="n">
        <v>19900000</v>
      </c>
      <c r="I18" s="19" t="n">
        <v>33700000</v>
      </c>
      <c r="J18" s="15" t="n">
        <v>14200000</v>
      </c>
      <c r="K18" s="20" t="n">
        <v>14000000</v>
      </c>
      <c r="L18" s="46" t="n"/>
      <c r="M18" s="14" t="inlineStr">
        <is>
          <t>Có</t>
        </is>
      </c>
      <c r="N18" s="14" t="inlineStr">
        <is>
          <t>Có</t>
        </is>
      </c>
      <c r="O18" s="14" t="inlineStr">
        <is>
          <t>Có</t>
        </is>
      </c>
      <c r="P18" s="14" t="inlineStr">
        <is>
          <t>2" / 2"</t>
        </is>
      </c>
      <c r="Q18" s="14" t="inlineStr">
        <is>
          <t>PEROTAC - Bơm trục đứng CDLF.pdf, tr.6 (hãng khác: REDPUMP, AQUARIS)</t>
        </is>
      </c>
    </row>
    <row r="19" ht="18" customHeight="1" s="1">
      <c r="A19" s="8" t="n">
        <v>48</v>
      </c>
      <c r="B19" s="8" t="inlineStr">
        <is>
          <t>CDLF12-12</t>
        </is>
      </c>
      <c r="C19" s="8" t="n">
        <v>7.5</v>
      </c>
      <c r="D19" s="14" t="inlineStr">
        <is>
          <t>DN50</t>
        </is>
      </c>
      <c r="E19" s="8" t="inlineStr">
        <is>
          <t>7 - 16</t>
        </is>
      </c>
      <c r="F19" s="8" t="inlineStr">
        <is>
          <t>86 - 143.5</t>
        </is>
      </c>
      <c r="G19" s="9" t="n">
        <v>20600000</v>
      </c>
      <c r="H19" s="10" t="n">
        <v>23100000</v>
      </c>
      <c r="I19" s="19" t="n">
        <v>37800000</v>
      </c>
      <c r="J19" s="12" t="n">
        <v>16500000</v>
      </c>
      <c r="K19" s="20" t="n">
        <v>16200000</v>
      </c>
      <c r="L19" s="46" t="n"/>
      <c r="M19" s="8" t="inlineStr">
        <is>
          <t>Có</t>
        </is>
      </c>
      <c r="N19" s="8" t="inlineStr">
        <is>
          <t>Có</t>
        </is>
      </c>
      <c r="O19" s="8" t="inlineStr">
        <is>
          <t>Có</t>
        </is>
      </c>
      <c r="P19" s="8" t="inlineStr">
        <is>
          <t>2" / 2"</t>
        </is>
      </c>
      <c r="Q19" s="8" t="inlineStr">
        <is>
          <t>PEROTAC - Bơm trục đứng CDLF.pdf, tr.6 (hãng khác: REDPUMP, AQUARIS)</t>
        </is>
      </c>
    </row>
    <row r="20" ht="18" customHeight="1" s="1">
      <c r="A20" s="8" t="n">
        <v>50</v>
      </c>
      <c r="B20" s="8" t="inlineStr">
        <is>
          <t>CDLF12-16</t>
        </is>
      </c>
      <c r="C20" s="8" t="n">
        <v>11</v>
      </c>
      <c r="D20" s="14" t="inlineStr">
        <is>
          <t>DN50</t>
        </is>
      </c>
      <c r="E20" s="8" t="inlineStr">
        <is>
          <t>7 - 16</t>
        </is>
      </c>
      <c r="F20" s="8" t="inlineStr">
        <is>
          <t>115 - 192.5</t>
        </is>
      </c>
      <c r="G20" s="9" t="n">
        <v>25000000</v>
      </c>
      <c r="H20" s="10" t="n">
        <v>28000000</v>
      </c>
      <c r="I20" s="19" t="n">
        <v>45200000</v>
      </c>
      <c r="J20" s="12" t="n">
        <v>20000000</v>
      </c>
      <c r="K20" s="20" t="n">
        <v>19500000</v>
      </c>
      <c r="L20" s="46" t="n"/>
      <c r="M20" s="8" t="inlineStr">
        <is>
          <t>Có</t>
        </is>
      </c>
      <c r="N20" s="8" t="inlineStr">
        <is>
          <t>Có</t>
        </is>
      </c>
      <c r="O20" s="8" t="inlineStr">
        <is>
          <t>Có</t>
        </is>
      </c>
      <c r="P20" s="8" t="inlineStr">
        <is>
          <t>2" / 2"</t>
        </is>
      </c>
      <c r="Q20" s="8" t="inlineStr">
        <is>
          <t>PEROTAC - Bơm trục đứng CDLF.pdf, tr.6 (hãng khác: REDPUMP, AQUARIS)</t>
        </is>
      </c>
    </row>
    <row r="21" ht="18" customHeight="1" s="1">
      <c r="A21" s="8" t="n">
        <v>56</v>
      </c>
      <c r="B21" s="8" t="inlineStr">
        <is>
          <t>CDLF16-6</t>
        </is>
      </c>
      <c r="C21" s="8" t="n">
        <v>5.5</v>
      </c>
      <c r="D21" s="14" t="inlineStr">
        <is>
          <t>DN50</t>
        </is>
      </c>
      <c r="E21" s="8" t="inlineStr">
        <is>
          <t>8 - 22</t>
        </is>
      </c>
      <c r="F21" s="8" t="inlineStr">
        <is>
          <t>52 - 82</t>
        </is>
      </c>
      <c r="G21" s="9" t="n">
        <v>17800000</v>
      </c>
      <c r="H21" s="10" t="n">
        <v>19900000</v>
      </c>
      <c r="I21" s="19" t="n">
        <v>33700000</v>
      </c>
      <c r="J21" s="12" t="n">
        <v>14200000</v>
      </c>
      <c r="K21" s="20" t="n">
        <v>14000000</v>
      </c>
      <c r="L21" s="46" t="n"/>
      <c r="M21" s="8" t="inlineStr">
        <is>
          <t>Có</t>
        </is>
      </c>
      <c r="N21" s="8" t="inlineStr">
        <is>
          <t>Có</t>
        </is>
      </c>
      <c r="O21" s="8" t="inlineStr">
        <is>
          <t>Có</t>
        </is>
      </c>
      <c r="P21" s="8" t="inlineStr">
        <is>
          <t>2" / 2"</t>
        </is>
      </c>
      <c r="Q21" s="8" t="inlineStr">
        <is>
          <t>PEROTAC - Bơm trục đứng CDLF.pdf, tr.7 (hãng khác: REDPUMP, AQUARIS)</t>
        </is>
      </c>
    </row>
    <row r="22" ht="18" customHeight="1" s="1">
      <c r="A22" s="14" t="n">
        <v>57</v>
      </c>
      <c r="B22" s="14" t="inlineStr">
        <is>
          <t>CDLF16-7</t>
        </is>
      </c>
      <c r="C22" s="14" t="n">
        <v>7.5</v>
      </c>
      <c r="D22" s="14" t="inlineStr">
        <is>
          <t>DN50</t>
        </is>
      </c>
      <c r="E22" s="14" t="inlineStr">
        <is>
          <t>8 - 22</t>
        </is>
      </c>
      <c r="F22" s="14" t="inlineStr">
        <is>
          <t>61 - 96</t>
        </is>
      </c>
      <c r="G22" s="9" t="n">
        <v>20600000</v>
      </c>
      <c r="H22" s="10" t="n">
        <v>23100000</v>
      </c>
      <c r="I22" s="19" t="n">
        <v>37800000</v>
      </c>
      <c r="J22" s="15" t="n">
        <v>16500000</v>
      </c>
      <c r="K22" s="20" t="n">
        <v>16200000</v>
      </c>
      <c r="L22" s="46" t="n"/>
      <c r="M22" s="14" t="inlineStr">
        <is>
          <t>Có</t>
        </is>
      </c>
      <c r="N22" s="14" t="inlineStr">
        <is>
          <t>Có</t>
        </is>
      </c>
      <c r="O22" s="14" t="inlineStr">
        <is>
          <t>Có</t>
        </is>
      </c>
      <c r="P22" s="14" t="inlineStr">
        <is>
          <t>2" / 2"</t>
        </is>
      </c>
      <c r="Q22" s="14" t="inlineStr">
        <is>
          <t>PEROTAC - Bơm trục đứng CDLF.pdf, tr.7 (hãng khác: REDPUMP, AQUARIS)</t>
        </is>
      </c>
    </row>
    <row r="23" ht="18" customHeight="1" s="1">
      <c r="A23" s="8" t="n">
        <v>58</v>
      </c>
      <c r="B23" s="8" t="inlineStr">
        <is>
          <t>CDLF16-8</t>
        </is>
      </c>
      <c r="C23" s="8" t="n">
        <v>7.5</v>
      </c>
      <c r="D23" s="14" t="inlineStr">
        <is>
          <t>DN50</t>
        </is>
      </c>
      <c r="E23" s="8" t="inlineStr">
        <is>
          <t>8 - 22</t>
        </is>
      </c>
      <c r="F23" s="8" t="inlineStr">
        <is>
          <t>70 - 110</t>
        </is>
      </c>
      <c r="G23" s="9" t="n">
        <v>20600000</v>
      </c>
      <c r="H23" s="10" t="n">
        <v>23100000</v>
      </c>
      <c r="I23" s="19" t="n">
        <v>37800000</v>
      </c>
      <c r="J23" s="12" t="n">
        <v>16500000</v>
      </c>
      <c r="K23" s="20" t="n">
        <v>16200000</v>
      </c>
      <c r="L23" s="46" t="n"/>
      <c r="M23" s="8" t="inlineStr">
        <is>
          <t>Có</t>
        </is>
      </c>
      <c r="N23" s="8" t="inlineStr">
        <is>
          <t>Có</t>
        </is>
      </c>
      <c r="O23" s="8" t="inlineStr">
        <is>
          <t>Có</t>
        </is>
      </c>
      <c r="P23" s="8" t="inlineStr">
        <is>
          <t>2" / 2"</t>
        </is>
      </c>
      <c r="Q23" s="8" t="inlineStr">
        <is>
          <t>PEROTAC - Bơm trục đứng CDLF.pdf, tr.7 (hãng khác: REDPUMP, AQUARIS)</t>
        </is>
      </c>
    </row>
    <row r="24" ht="18" customHeight="1" s="1">
      <c r="A24" s="14" t="n">
        <v>59</v>
      </c>
      <c r="B24" s="14" t="inlineStr">
        <is>
          <t>CDLF16-10</t>
        </is>
      </c>
      <c r="C24" s="14" t="n">
        <v>11</v>
      </c>
      <c r="D24" s="14" t="inlineStr">
        <is>
          <t>DN50</t>
        </is>
      </c>
      <c r="E24" s="14" t="inlineStr">
        <is>
          <t>8 - 22</t>
        </is>
      </c>
      <c r="F24" s="14" t="inlineStr">
        <is>
          <t>87 - 138</t>
        </is>
      </c>
      <c r="G24" s="9" t="n">
        <v>25000000</v>
      </c>
      <c r="H24" s="10" t="n">
        <v>28000000</v>
      </c>
      <c r="I24" s="19" t="n">
        <v>45200000</v>
      </c>
      <c r="J24" s="15" t="n">
        <v>20000000</v>
      </c>
      <c r="K24" s="20" t="n">
        <v>19500000</v>
      </c>
      <c r="L24" s="46" t="n"/>
      <c r="M24" s="14" t="inlineStr">
        <is>
          <t>Có</t>
        </is>
      </c>
      <c r="N24" s="14" t="inlineStr">
        <is>
          <t>Có</t>
        </is>
      </c>
      <c r="O24" s="14" t="inlineStr">
        <is>
          <t>Có</t>
        </is>
      </c>
      <c r="P24" s="14" t="inlineStr">
        <is>
          <t>2" / 2"</t>
        </is>
      </c>
      <c r="Q24" s="14" t="inlineStr">
        <is>
          <t>PEROTAC - Bơm trục đứng CDLF.pdf, tr.7 (hãng khác: REDPUMP, AQUARIS)</t>
        </is>
      </c>
    </row>
    <row r="25" ht="18" customHeight="1" s="1">
      <c r="A25" s="8" t="n">
        <v>60</v>
      </c>
      <c r="B25" s="8" t="inlineStr">
        <is>
          <t>CDLF16-12</t>
        </is>
      </c>
      <c r="C25" s="8" t="n">
        <v>11</v>
      </c>
      <c r="D25" s="14" t="inlineStr">
        <is>
          <t>DN50</t>
        </is>
      </c>
      <c r="E25" s="8" t="inlineStr">
        <is>
          <t>8 - 22</t>
        </is>
      </c>
      <c r="F25" s="8" t="inlineStr">
        <is>
          <t>105 - 166</t>
        </is>
      </c>
      <c r="G25" s="9" t="n">
        <v>25000000</v>
      </c>
      <c r="H25" s="10" t="n">
        <v>28000000</v>
      </c>
      <c r="I25" s="19" t="n">
        <v>45200000</v>
      </c>
      <c r="J25" s="12" t="n">
        <v>20000000</v>
      </c>
      <c r="K25" s="20" t="n">
        <v>19500000</v>
      </c>
      <c r="L25" s="46" t="n"/>
      <c r="M25" s="8" t="inlineStr">
        <is>
          <t>Có</t>
        </is>
      </c>
      <c r="N25" s="8" t="inlineStr">
        <is>
          <t>Có</t>
        </is>
      </c>
      <c r="O25" s="8" t="inlineStr">
        <is>
          <t>Có</t>
        </is>
      </c>
      <c r="P25" s="8" t="inlineStr">
        <is>
          <t>2" / 2"</t>
        </is>
      </c>
      <c r="Q25" s="8" t="inlineStr">
        <is>
          <t>PEROTAC - Bơm trục đứng CDLF.pdf, tr.7 (hãng khác: REDPUMP, AQUARIS)</t>
        </is>
      </c>
    </row>
    <row r="26" ht="18" customHeight="1" s="1">
      <c r="A26" s="14" t="n">
        <v>61</v>
      </c>
      <c r="B26" s="14" t="inlineStr">
        <is>
          <t>CDLF16-14</t>
        </is>
      </c>
      <c r="C26" s="14" t="n">
        <v>15</v>
      </c>
      <c r="D26" s="14" t="inlineStr">
        <is>
          <t>DN50</t>
        </is>
      </c>
      <c r="E26" s="14" t="inlineStr">
        <is>
          <t>8 - 22</t>
        </is>
      </c>
      <c r="F26" s="14" t="inlineStr">
        <is>
          <t>122 - 194</t>
        </is>
      </c>
      <c r="G26" s="9" t="n">
        <v>27500000</v>
      </c>
      <c r="H26" s="10" t="n">
        <v>30800000</v>
      </c>
      <c r="I26" s="19" t="n">
        <v>50000000</v>
      </c>
      <c r="J26" s="15" t="n">
        <v>22000000</v>
      </c>
      <c r="K26" s="20" t="n">
        <v>21500000</v>
      </c>
      <c r="L26" s="46" t="n"/>
      <c r="M26" s="14" t="inlineStr">
        <is>
          <t>Có</t>
        </is>
      </c>
      <c r="N26" s="14" t="inlineStr">
        <is>
          <t>Có</t>
        </is>
      </c>
      <c r="O26" s="14" t="inlineStr">
        <is>
          <t>Có</t>
        </is>
      </c>
      <c r="P26" s="14" t="inlineStr">
        <is>
          <t>2" / 2"</t>
        </is>
      </c>
      <c r="Q26" s="14" t="inlineStr">
        <is>
          <t>PEROTAC - Bơm trục đứng CDLF.pdf, tr.7 (hãng khác: REDPUMP, AQUARIS)</t>
        </is>
      </c>
    </row>
    <row r="27" ht="18" customHeight="1" s="1">
      <c r="A27" s="8" t="n">
        <v>62</v>
      </c>
      <c r="B27" s="8" t="inlineStr">
        <is>
          <t>CDLF16-16</t>
        </is>
      </c>
      <c r="C27" s="8" t="n">
        <v>15</v>
      </c>
      <c r="D27" s="14" t="inlineStr">
        <is>
          <t>DN50</t>
        </is>
      </c>
      <c r="E27" s="8" t="inlineStr">
        <is>
          <t>8 - 22</t>
        </is>
      </c>
      <c r="F27" s="8" t="inlineStr">
        <is>
          <t>140 - 222</t>
        </is>
      </c>
      <c r="G27" s="9" t="n">
        <v>27500000</v>
      </c>
      <c r="H27" s="10" t="n">
        <v>30800000</v>
      </c>
      <c r="I27" s="19" t="n">
        <v>50000000</v>
      </c>
      <c r="J27" s="12" t="n">
        <v>22000000</v>
      </c>
      <c r="K27" s="20" t="n">
        <v>21500000</v>
      </c>
      <c r="L27" s="46" t="n"/>
      <c r="M27" s="8" t="inlineStr">
        <is>
          <t>Có</t>
        </is>
      </c>
      <c r="N27" s="8" t="inlineStr">
        <is>
          <t>Có</t>
        </is>
      </c>
      <c r="O27" s="8" t="inlineStr">
        <is>
          <t>Có</t>
        </is>
      </c>
      <c r="P27" s="8" t="inlineStr">
        <is>
          <t>2" / 2"</t>
        </is>
      </c>
      <c r="Q27" s="8" t="inlineStr">
        <is>
          <t>PEROTAC - Bơm trục đứng CDLF.pdf, tr.7 (hãng khác: REDPUMP, AQUARIS)</t>
        </is>
      </c>
    </row>
    <row r="28" ht="18" customHeight="1" s="1">
      <c r="A28" s="14" t="n">
        <v>66</v>
      </c>
      <c r="B28" s="14" t="inlineStr">
        <is>
          <t>CDLF20-4</t>
        </is>
      </c>
      <c r="C28" s="14" t="n">
        <v>5.5</v>
      </c>
      <c r="D28" s="14" t="inlineStr">
        <is>
          <t>DN50</t>
        </is>
      </c>
      <c r="E28" s="14" t="inlineStr">
        <is>
          <t>10 - 28</t>
        </is>
      </c>
      <c r="F28" s="14" t="inlineStr">
        <is>
          <t>33 - 54</t>
        </is>
      </c>
      <c r="G28" s="9" t="n">
        <v>17800000</v>
      </c>
      <c r="H28" s="10" t="n">
        <v>19900000</v>
      </c>
      <c r="I28" s="19" t="n">
        <v>33700000</v>
      </c>
      <c r="J28" s="15" t="n">
        <v>14200000</v>
      </c>
      <c r="K28" s="20" t="n">
        <v>14000000</v>
      </c>
      <c r="L28" s="46" t="n"/>
      <c r="M28" s="14" t="inlineStr">
        <is>
          <t>Có</t>
        </is>
      </c>
      <c r="N28" s="14" t="inlineStr">
        <is>
          <t>Có</t>
        </is>
      </c>
      <c r="O28" s="14" t="inlineStr">
        <is>
          <t>Có</t>
        </is>
      </c>
      <c r="P28" s="14" t="inlineStr">
        <is>
          <t>2" / 2"</t>
        </is>
      </c>
      <c r="Q28" s="14" t="inlineStr">
        <is>
          <t>PEROTAC - Bơm trục đứng CDLF.pdf, tr.8 (hãng khác: REDPUMP, AQUARIS)</t>
        </is>
      </c>
    </row>
    <row r="29" ht="18" customHeight="1" s="1">
      <c r="A29" s="14" t="n">
        <v>68</v>
      </c>
      <c r="B29" s="14" t="inlineStr">
        <is>
          <t>CDLF20-6</t>
        </is>
      </c>
      <c r="C29" s="14" t="n">
        <v>7.5</v>
      </c>
      <c r="D29" s="14" t="inlineStr">
        <is>
          <t>DN50</t>
        </is>
      </c>
      <c r="E29" s="14" t="inlineStr">
        <is>
          <t>10 - 28</t>
        </is>
      </c>
      <c r="F29" s="14" t="inlineStr">
        <is>
          <t>49 - 81</t>
        </is>
      </c>
      <c r="G29" s="9" t="n">
        <v>20600000</v>
      </c>
      <c r="H29" s="10" t="n">
        <v>23100000</v>
      </c>
      <c r="I29" s="19" t="n">
        <v>37800000</v>
      </c>
      <c r="J29" s="15" t="n">
        <v>16500000</v>
      </c>
      <c r="K29" s="20" t="n">
        <v>16200000</v>
      </c>
      <c r="L29" s="46" t="n"/>
      <c r="M29" s="14" t="inlineStr">
        <is>
          <t>Có</t>
        </is>
      </c>
      <c r="N29" s="14" t="inlineStr">
        <is>
          <t>Có</t>
        </is>
      </c>
      <c r="O29" s="14" t="inlineStr">
        <is>
          <t>Có</t>
        </is>
      </c>
      <c r="P29" s="14" t="inlineStr">
        <is>
          <t>2" / 2"</t>
        </is>
      </c>
      <c r="Q29" s="14" t="inlineStr">
        <is>
          <t>PEROTAC - Bơm trục đứng CDLF.pdf, tr.8 (hãng khác: REDPUMP, AQUARIS)</t>
        </is>
      </c>
    </row>
    <row r="30" ht="18" customHeight="1" s="1">
      <c r="A30" s="14" t="n">
        <v>70</v>
      </c>
      <c r="B30" s="14" t="inlineStr">
        <is>
          <t>CDLF20-10</t>
        </is>
      </c>
      <c r="C30" s="14" t="n">
        <v>11</v>
      </c>
      <c r="D30" s="14" t="inlineStr">
        <is>
          <t>DN50</t>
        </is>
      </c>
      <c r="E30" s="14" t="inlineStr">
        <is>
          <t>10 - 28</t>
        </is>
      </c>
      <c r="F30" s="14" t="inlineStr">
        <is>
          <t>85 - 136</t>
        </is>
      </c>
      <c r="G30" s="9" t="n">
        <v>25000000</v>
      </c>
      <c r="H30" s="10" t="n">
        <v>28000000</v>
      </c>
      <c r="I30" s="19" t="n">
        <v>45200000</v>
      </c>
      <c r="J30" s="15" t="n">
        <v>20000000</v>
      </c>
      <c r="K30" s="20" t="n">
        <v>19500000</v>
      </c>
      <c r="L30" s="46" t="n"/>
      <c r="M30" s="14" t="inlineStr">
        <is>
          <t>Có</t>
        </is>
      </c>
      <c r="N30" s="14" t="inlineStr">
        <is>
          <t>Có</t>
        </is>
      </c>
      <c r="O30" s="14" t="inlineStr">
        <is>
          <t>Có</t>
        </is>
      </c>
      <c r="P30" s="14" t="inlineStr">
        <is>
          <t>2" / 2"</t>
        </is>
      </c>
      <c r="Q30" s="14" t="inlineStr">
        <is>
          <t>PEROTAC - Bơm trục đứng CDLF.pdf, tr.8 (hãng khác: REDPUMP, AQUARIS)</t>
        </is>
      </c>
    </row>
    <row r="31" ht="18" customHeight="1" s="1">
      <c r="A31" s="8" t="n">
        <v>73</v>
      </c>
      <c r="B31" s="8" t="inlineStr">
        <is>
          <t>CDLF20-14</t>
        </is>
      </c>
      <c r="C31" s="8" t="n">
        <v>15</v>
      </c>
      <c r="D31" s="14" t="inlineStr">
        <is>
          <t>DN50</t>
        </is>
      </c>
      <c r="E31" s="8" t="inlineStr">
        <is>
          <t>10 - 28</t>
        </is>
      </c>
      <c r="F31" s="8" t="inlineStr">
        <is>
          <t>119 - 192</t>
        </is>
      </c>
      <c r="G31" s="9" t="n">
        <v>27500000</v>
      </c>
      <c r="H31" s="10" t="n">
        <v>30800000</v>
      </c>
      <c r="I31" s="19" t="n">
        <v>50000000</v>
      </c>
      <c r="J31" s="12" t="n">
        <v>22000000</v>
      </c>
      <c r="K31" s="20" t="n">
        <v>21500000</v>
      </c>
      <c r="L31" s="46" t="n"/>
      <c r="M31" s="8" t="inlineStr">
        <is>
          <t>Có</t>
        </is>
      </c>
      <c r="N31" s="8" t="inlineStr">
        <is>
          <t>Có</t>
        </is>
      </c>
      <c r="O31" s="8" t="inlineStr">
        <is>
          <t>Có</t>
        </is>
      </c>
      <c r="P31" s="8" t="inlineStr">
        <is>
          <t>2" / 2"</t>
        </is>
      </c>
      <c r="Q31" s="8" t="inlineStr">
        <is>
          <t>PEROTAC - Bơm trục đứng CDLF.pdf, tr.8 (hãng khác: REDPUMP, AQUARIS)</t>
        </is>
      </c>
    </row>
    <row r="32" ht="18" customHeight="1" s="1">
      <c r="A32" s="14" t="n">
        <v>74</v>
      </c>
      <c r="B32" s="14" t="inlineStr">
        <is>
          <t>CDLF20-17</t>
        </is>
      </c>
      <c r="C32" s="14" t="n">
        <v>18.5</v>
      </c>
      <c r="D32" s="14" t="inlineStr">
        <is>
          <t>DN50</t>
        </is>
      </c>
      <c r="E32" s="14" t="inlineStr">
        <is>
          <t>10 - 28</t>
        </is>
      </c>
      <c r="F32" s="14" t="inlineStr">
        <is>
          <t>145 - 234</t>
        </is>
      </c>
      <c r="G32" s="9" t="n">
        <v>35600000</v>
      </c>
      <c r="H32" s="10" t="n">
        <v>39900000</v>
      </c>
      <c r="I32" s="19" t="n">
        <v>64300000</v>
      </c>
      <c r="J32" s="15" t="n">
        <v>28500000</v>
      </c>
      <c r="K32" s="20" t="n">
        <v>28000000</v>
      </c>
      <c r="L32" s="46" t="n"/>
      <c r="M32" s="14" t="inlineStr">
        <is>
          <t>Có</t>
        </is>
      </c>
      <c r="N32" s="14" t="inlineStr">
        <is>
          <t>Có</t>
        </is>
      </c>
      <c r="O32" s="14" t="inlineStr">
        <is>
          <t>Có</t>
        </is>
      </c>
      <c r="P32" s="14" t="inlineStr">
        <is>
          <t>2" / 2"</t>
        </is>
      </c>
      <c r="Q32" s="14" t="inlineStr">
        <is>
          <t>PEROTAC - Bơm trục đứng CDLF.pdf, tr.8 (hãng khác: REDPUMP, AQUARIS)</t>
        </is>
      </c>
    </row>
    <row r="33" ht="18" customHeight="1" s="1">
      <c r="A33" s="8" t="n">
        <v>81</v>
      </c>
      <c r="B33" s="8" t="inlineStr">
        <is>
          <t>CDLF32-4</t>
        </is>
      </c>
      <c r="C33" s="8" t="n">
        <v>7.5</v>
      </c>
      <c r="D33" s="8" t="inlineStr">
        <is>
          <t>DN65</t>
        </is>
      </c>
      <c r="E33" s="8" t="inlineStr">
        <is>
          <t>16 - 40</t>
        </is>
      </c>
      <c r="F33" s="8" t="inlineStr">
        <is>
          <t>37 - 72</t>
        </is>
      </c>
      <c r="G33" s="9" t="n">
        <v>25000000</v>
      </c>
      <c r="H33" s="10" t="n">
        <v>28000000</v>
      </c>
      <c r="I33" s="19" t="n">
        <v>45200000</v>
      </c>
      <c r="J33" s="12" t="n"/>
      <c r="K33" s="20" t="n"/>
      <c r="L33" s="46" t="n"/>
      <c r="M33" s="8" t="inlineStr">
        <is>
          <t>Có</t>
        </is>
      </c>
      <c r="N33" s="8" t="inlineStr">
        <is>
          <t>Có</t>
        </is>
      </c>
      <c r="O33" s="8" t="inlineStr">
        <is>
          <t>Có</t>
        </is>
      </c>
      <c r="P33" s="8" t="inlineStr">
        <is>
          <t>2.5" / 2.5"</t>
        </is>
      </c>
      <c r="Q33" s="8" t="inlineStr">
        <is>
          <t>PEROTAC - Bơm trục đứng CDLF.pdf, tr.10 (hãng khác: REDPUMP, AQUARIS)</t>
        </is>
      </c>
    </row>
    <row r="34" ht="18" customHeight="1" s="1">
      <c r="A34" s="8" t="n">
        <v>83</v>
      </c>
      <c r="B34" s="8" t="inlineStr">
        <is>
          <t>CDLF32-6</t>
        </is>
      </c>
      <c r="C34" s="8" t="n">
        <v>11</v>
      </c>
      <c r="D34" s="8" t="inlineStr">
        <is>
          <t>DN65</t>
        </is>
      </c>
      <c r="E34" s="8" t="inlineStr">
        <is>
          <t>16 - 40</t>
        </is>
      </c>
      <c r="F34" s="8" t="inlineStr">
        <is>
          <t>57 - 108</t>
        </is>
      </c>
      <c r="G34" s="9" t="n">
        <v>35600000</v>
      </c>
      <c r="H34" s="10" t="n">
        <v>39900000</v>
      </c>
      <c r="I34" s="19" t="n">
        <v>64300000</v>
      </c>
      <c r="J34" s="12" t="n"/>
      <c r="K34" s="20" t="n">
        <v>27500000</v>
      </c>
      <c r="L34" s="46" t="n"/>
      <c r="M34" s="8" t="inlineStr">
        <is>
          <t>Có</t>
        </is>
      </c>
      <c r="N34" s="8" t="inlineStr">
        <is>
          <t>Có</t>
        </is>
      </c>
      <c r="O34" s="8" t="inlineStr">
        <is>
          <t>Có</t>
        </is>
      </c>
      <c r="P34" s="8" t="inlineStr">
        <is>
          <t>2.5" / 2.5"</t>
        </is>
      </c>
      <c r="Q34" s="8" t="inlineStr">
        <is>
          <t>PEROTAC - Bơm trục đứng CDLF.pdf, tr.10 (hãng khác: REDPUMP, AQUARIS)</t>
        </is>
      </c>
    </row>
    <row r="35" ht="18" customHeight="1" s="1">
      <c r="A35" s="8" t="n">
        <v>87</v>
      </c>
      <c r="B35" s="8" t="inlineStr">
        <is>
          <t>CDLF32-8</t>
        </is>
      </c>
      <c r="C35" s="8" t="n">
        <v>15</v>
      </c>
      <c r="D35" s="8" t="inlineStr">
        <is>
          <t>DN65</t>
        </is>
      </c>
      <c r="E35" s="8" t="inlineStr">
        <is>
          <t>16 - 40</t>
        </is>
      </c>
      <c r="F35" s="8" t="inlineStr">
        <is>
          <t>77 - 144</t>
        </is>
      </c>
      <c r="G35" s="9" t="n">
        <v>41500000</v>
      </c>
      <c r="H35" s="10" t="n">
        <v>46800000</v>
      </c>
      <c r="I35" s="19" t="n">
        <v>74500000</v>
      </c>
      <c r="J35" s="12" t="n"/>
      <c r="K35" s="20" t="n">
        <v>32500000</v>
      </c>
      <c r="L35" s="46" t="n"/>
      <c r="M35" s="8" t="inlineStr">
        <is>
          <t>Có</t>
        </is>
      </c>
      <c r="N35" s="8" t="inlineStr">
        <is>
          <t>Có</t>
        </is>
      </c>
      <c r="O35" s="8" t="inlineStr">
        <is>
          <t>Có</t>
        </is>
      </c>
      <c r="P35" s="8" t="inlineStr">
        <is>
          <t>2.5" / 2.5"</t>
        </is>
      </c>
      <c r="Q35" s="8" t="inlineStr">
        <is>
          <t>PEROTAC - Bơm trục đứng CDLF.pdf, tr.10 (hãng khác: REDPUMP, AQUARIS)</t>
        </is>
      </c>
    </row>
    <row r="36" ht="18" customHeight="1" s="1">
      <c r="A36" s="8" t="n">
        <v>93</v>
      </c>
      <c r="B36" s="8" t="inlineStr">
        <is>
          <t>CDLF32-10</t>
        </is>
      </c>
      <c r="C36" s="8" t="n">
        <v>18.5</v>
      </c>
      <c r="D36" s="8" t="inlineStr">
        <is>
          <t>DN65</t>
        </is>
      </c>
      <c r="E36" s="8" t="inlineStr">
        <is>
          <t>16 - 40</t>
        </is>
      </c>
      <c r="F36" s="8" t="inlineStr">
        <is>
          <t>98 - 182</t>
        </is>
      </c>
      <c r="G36" s="9" t="n">
        <v>47000000</v>
      </c>
      <c r="H36" s="10" t="n">
        <v>53300000</v>
      </c>
      <c r="I36" s="19" t="n">
        <v>87500000</v>
      </c>
      <c r="J36" s="12" t="n">
        <v>36700000</v>
      </c>
      <c r="K36" s="20" t="n">
        <v>36500000</v>
      </c>
      <c r="L36" s="46" t="n"/>
      <c r="M36" s="8" t="inlineStr">
        <is>
          <t>Có</t>
        </is>
      </c>
      <c r="N36" s="8" t="inlineStr">
        <is>
          <t>Có</t>
        </is>
      </c>
      <c r="O36" s="8" t="inlineStr">
        <is>
          <t>Có</t>
        </is>
      </c>
      <c r="P36" s="8" t="inlineStr">
        <is>
          <t>2.5" / 2.5"</t>
        </is>
      </c>
      <c r="Q36" s="8" t="inlineStr">
        <is>
          <t>PEROTAC - Bơm trục đứng CDLF.pdf, tr.10 (hãng khác: REDPUMP, AQUARIS)</t>
        </is>
      </c>
    </row>
    <row r="37" ht="18" customHeight="1" s="1">
      <c r="A37" s="8" t="n">
        <v>97</v>
      </c>
      <c r="B37" s="8" t="inlineStr">
        <is>
          <t>CDLF32-12</t>
        </is>
      </c>
      <c r="C37" s="8" t="n">
        <v>22</v>
      </c>
      <c r="D37" s="8" t="inlineStr">
        <is>
          <t>DN65</t>
        </is>
      </c>
      <c r="E37" s="8" t="inlineStr">
        <is>
          <t>16 - 40</t>
        </is>
      </c>
      <c r="F37" s="8" t="inlineStr">
        <is>
          <t>120 - 218</t>
        </is>
      </c>
      <c r="G37" s="9" t="n">
        <v>52500000</v>
      </c>
      <c r="H37" s="10" t="n">
        <v>58800000</v>
      </c>
      <c r="I37" s="19" t="n">
        <v>95000000</v>
      </c>
      <c r="J37" s="12" t="n">
        <v>42000000</v>
      </c>
      <c r="K37" s="20" t="n">
        <v>41000000</v>
      </c>
      <c r="L37" s="46" t="n"/>
      <c r="M37" s="8" t="inlineStr">
        <is>
          <t>Có</t>
        </is>
      </c>
      <c r="N37" s="8" t="inlineStr">
        <is>
          <t>Có</t>
        </is>
      </c>
      <c r="O37" s="8" t="inlineStr">
        <is>
          <t>Có</t>
        </is>
      </c>
      <c r="P37" s="8" t="inlineStr">
        <is>
          <t>2.5" / 2.5"</t>
        </is>
      </c>
      <c r="Q37" s="8" t="inlineStr">
        <is>
          <t>PEROTAC - Bơm trục đứng CDLF.pdf, tr.10 (hãng khác: REDPUMP, AQUARIS)</t>
        </is>
      </c>
    </row>
    <row r="38" ht="18" customHeight="1" s="1">
      <c r="A38" s="8" t="n">
        <v>101</v>
      </c>
      <c r="B38" s="8" t="inlineStr">
        <is>
          <t>CDLF32-14</t>
        </is>
      </c>
      <c r="C38" s="8" t="n">
        <v>30</v>
      </c>
      <c r="D38" s="8" t="inlineStr">
        <is>
          <t>DN65</t>
        </is>
      </c>
      <c r="E38" s="8" t="inlineStr">
        <is>
          <t>16 - 40</t>
        </is>
      </c>
      <c r="F38" s="8" t="inlineStr">
        <is>
          <t>142 - 255</t>
        </is>
      </c>
      <c r="G38" s="9" t="n">
        <v>65600000</v>
      </c>
      <c r="H38" s="10" t="n">
        <v>73500000</v>
      </c>
      <c r="I38" s="19" t="n">
        <v>124700000</v>
      </c>
      <c r="J38" s="12" t="n">
        <v>52500000</v>
      </c>
      <c r="K38" s="20" t="n">
        <v>51200000</v>
      </c>
      <c r="L38" s="46" t="n"/>
      <c r="M38" s="8" t="inlineStr">
        <is>
          <t>Có</t>
        </is>
      </c>
      <c r="N38" s="8" t="inlineStr">
        <is>
          <t>Có</t>
        </is>
      </c>
      <c r="O38" s="8" t="inlineStr">
        <is>
          <t>Có</t>
        </is>
      </c>
      <c r="P38" s="8" t="inlineStr">
        <is>
          <t>2.5" / 2.5"</t>
        </is>
      </c>
      <c r="Q38" s="8" t="inlineStr">
        <is>
          <t>PEROTAC - Bơm trục đứng CDLF.pdf, tr.10 (hãng khác: REDPUMP, AQUARIS)</t>
        </is>
      </c>
    </row>
    <row r="39" ht="18" customHeight="1" s="1">
      <c r="A39" s="8" t="n">
        <v>117</v>
      </c>
      <c r="B39" s="8" t="inlineStr">
        <is>
          <t>CDLF42-4</t>
        </is>
      </c>
      <c r="C39" s="8" t="n">
        <v>15</v>
      </c>
      <c r="D39" s="8" t="inlineStr">
        <is>
          <t>DN80</t>
        </is>
      </c>
      <c r="E39" s="8" t="inlineStr">
        <is>
          <t>25 - 55</t>
        </is>
      </c>
      <c r="F39" s="8" t="inlineStr">
        <is>
          <t>62 - 95</t>
        </is>
      </c>
      <c r="G39" s="9" t="n">
        <v>47000000</v>
      </c>
      <c r="H39" s="10" t="n">
        <v>53300000</v>
      </c>
      <c r="I39" s="19" t="n">
        <v>87500000</v>
      </c>
      <c r="J39" s="12" t="n"/>
      <c r="K39" s="20" t="n">
        <v>36500000</v>
      </c>
      <c r="L39" s="46" t="n"/>
      <c r="M39" s="8" t="inlineStr">
        <is>
          <t>Có</t>
        </is>
      </c>
      <c r="N39" s="8" t="inlineStr">
        <is>
          <t>Có</t>
        </is>
      </c>
      <c r="O39" s="8" t="inlineStr">
        <is>
          <t>Có</t>
        </is>
      </c>
      <c r="P39" s="8" t="inlineStr">
        <is>
          <t>3" / 3"</t>
        </is>
      </c>
      <c r="Q39" s="8" t="inlineStr">
        <is>
          <t>PEROTAC - Bơm trục đứng CDLF.pdf, tr.12 (hãng khác: REDPUMP, AQUARIS)</t>
        </is>
      </c>
    </row>
    <row r="40" ht="18" customHeight="1" s="1">
      <c r="A40" s="8" t="n">
        <v>117</v>
      </c>
      <c r="B40" s="8" t="inlineStr">
        <is>
          <t>CDLF42-6</t>
        </is>
      </c>
      <c r="C40" s="8" t="n">
        <v>22</v>
      </c>
      <c r="D40" s="8" t="inlineStr">
        <is>
          <t>DN80</t>
        </is>
      </c>
      <c r="E40" s="8" t="inlineStr">
        <is>
          <t>25 - 55</t>
        </is>
      </c>
      <c r="F40" s="8" t="inlineStr">
        <is>
          <t>93 - 143</t>
        </is>
      </c>
      <c r="G40" s="9" t="n">
        <v>52500000</v>
      </c>
      <c r="H40" s="10" t="n">
        <v>58800000</v>
      </c>
      <c r="I40" s="19" t="n">
        <v>95000000</v>
      </c>
      <c r="J40" s="12" t="n">
        <v>42000000</v>
      </c>
      <c r="K40" s="20" t="n">
        <v>41000000</v>
      </c>
      <c r="L40" s="46" t="n"/>
      <c r="M40" s="8" t="inlineStr">
        <is>
          <t>Có</t>
        </is>
      </c>
      <c r="N40" s="8" t="inlineStr">
        <is>
          <t>Có</t>
        </is>
      </c>
      <c r="O40" s="8" t="inlineStr">
        <is>
          <t>Có</t>
        </is>
      </c>
      <c r="P40" s="8" t="inlineStr">
        <is>
          <t>3" / 3"</t>
        </is>
      </c>
      <c r="Q40" s="8" t="inlineStr">
        <is>
          <t>PEROTAC - Bơm trục đứng CDLF.pdf, tr.12 (hãng khác: REDPUMP, AQUARIS)</t>
        </is>
      </c>
    </row>
    <row r="41" ht="18" customHeight="1" s="1">
      <c r="A41" s="8" t="n">
        <v>121</v>
      </c>
      <c r="B41" s="8" t="inlineStr">
        <is>
          <t>CDLF42-8</t>
        </is>
      </c>
      <c r="C41" s="8" t="n">
        <v>30</v>
      </c>
      <c r="D41" s="8" t="inlineStr">
        <is>
          <t>DN80</t>
        </is>
      </c>
      <c r="E41" s="8" t="inlineStr">
        <is>
          <t>25 - 55</t>
        </is>
      </c>
      <c r="F41" s="8" t="inlineStr">
        <is>
          <t>124 - 190</t>
        </is>
      </c>
      <c r="G41" s="9" t="n">
        <v>65600000</v>
      </c>
      <c r="H41" s="10" t="n">
        <v>73500000</v>
      </c>
      <c r="I41" s="19" t="n">
        <v>124700000</v>
      </c>
      <c r="J41" s="12" t="n">
        <v>52500000</v>
      </c>
      <c r="K41" s="20" t="n">
        <v>51200000</v>
      </c>
      <c r="L41" s="46" t="n"/>
      <c r="M41" s="8" t="inlineStr">
        <is>
          <t>Có</t>
        </is>
      </c>
      <c r="N41" s="8" t="inlineStr">
        <is>
          <t>Có</t>
        </is>
      </c>
      <c r="O41" s="8" t="inlineStr">
        <is>
          <t>Có</t>
        </is>
      </c>
      <c r="P41" s="8" t="inlineStr">
        <is>
          <t>3" / 3"</t>
        </is>
      </c>
      <c r="Q41" s="8" t="inlineStr">
        <is>
          <t>PEROTAC - Bơm trục đứng CDLF.pdf, tr.12 (hãng khác: REDPUMP, AQUARIS)</t>
        </is>
      </c>
    </row>
    <row r="42" ht="18" customHeight="1" s="1">
      <c r="A42" s="14" t="n">
        <v>124</v>
      </c>
      <c r="B42" s="14" t="inlineStr">
        <is>
          <t>CDLF42-10</t>
        </is>
      </c>
      <c r="C42" s="14" t="n">
        <v>37</v>
      </c>
      <c r="D42" s="8" t="inlineStr">
        <is>
          <t>DN80</t>
        </is>
      </c>
      <c r="E42" s="14" t="inlineStr">
        <is>
          <t>25 - 55</t>
        </is>
      </c>
      <c r="F42" s="14" t="inlineStr">
        <is>
          <t>155 - 238</t>
        </is>
      </c>
      <c r="G42" s="9" t="n">
        <v>81300000</v>
      </c>
      <c r="H42" s="10" t="n">
        <v>91000000</v>
      </c>
      <c r="I42" s="19" t="n">
        <v>150150000</v>
      </c>
      <c r="J42" s="15" t="n">
        <v>65000000</v>
      </c>
      <c r="K42" s="14" t="inlineStr">
        <is>
          <t>(Trống)</t>
        </is>
      </c>
      <c r="L42" s="46" t="n"/>
      <c r="M42" s="14" t="inlineStr">
        <is>
          <t>Có</t>
        </is>
      </c>
      <c r="N42" s="14" t="inlineStr">
        <is>
          <t>Có</t>
        </is>
      </c>
      <c r="O42" s="14" t="inlineStr">
        <is>
          <t>Có</t>
        </is>
      </c>
      <c r="P42" s="14" t="inlineStr">
        <is>
          <t>3" / 3"</t>
        </is>
      </c>
      <c r="Q42" s="14" t="inlineStr">
        <is>
          <t>PEROTAC - Bơm trục đứng CDLF.pdf, tr.12 (hãng khác: REDPUMP, AQUARIS)</t>
        </is>
      </c>
    </row>
    <row r="43" ht="18" customHeight="1" s="1">
      <c r="A43" s="8" t="n">
        <v>129</v>
      </c>
      <c r="B43" s="8" t="inlineStr">
        <is>
          <t>CDLF42-12</t>
        </is>
      </c>
      <c r="C43" s="8" t="n">
        <v>45</v>
      </c>
      <c r="D43" s="8" t="inlineStr">
        <is>
          <t>DN80</t>
        </is>
      </c>
      <c r="E43" s="8" t="inlineStr">
        <is>
          <t>25 - 55</t>
        </is>
      </c>
      <c r="F43" s="8" t="inlineStr">
        <is>
          <t>190 - 289</t>
        </is>
      </c>
      <c r="G43" s="9" t="n">
        <v>93800000</v>
      </c>
      <c r="H43" s="10" t="n">
        <v>105000000</v>
      </c>
      <c r="I43" s="19" t="n">
        <v>173250000</v>
      </c>
      <c r="J43" s="12" t="n">
        <v>75000000</v>
      </c>
      <c r="K43" s="8" t="inlineStr">
        <is>
          <t>(Trống)</t>
        </is>
      </c>
      <c r="L43" s="45" t="n"/>
      <c r="M43" s="8" t="inlineStr">
        <is>
          <t>Có</t>
        </is>
      </c>
      <c r="N43" s="8" t="inlineStr">
        <is>
          <t>Có</t>
        </is>
      </c>
      <c r="O43" s="8" t="inlineStr">
        <is>
          <t>Có</t>
        </is>
      </c>
      <c r="P43" s="8" t="inlineStr">
        <is>
          <t>3" / 3"</t>
        </is>
      </c>
      <c r="Q43" s="8" t="inlineStr">
        <is>
          <t>PEROTAC - Bơm trục đứng CDLF.pdf, tr.12 (hãng khác: REDPUMP, AQUARIS)</t>
        </is>
      </c>
    </row>
    <row r="44" ht="18" customHeight="1" s="1">
      <c r="A44" s="14" t="n">
        <v>16</v>
      </c>
      <c r="B44" s="14" t="inlineStr">
        <is>
          <t>VM2-9 X 7-1.1KW-220V</t>
        </is>
      </c>
      <c r="C44" s="14" t="n">
        <v>1.1</v>
      </c>
      <c r="D44" s="14" t="inlineStr">
        <is>
          <t>34-34</t>
        </is>
      </c>
      <c r="E44" s="14" t="n">
        <v>3.5</v>
      </c>
      <c r="F44" s="14" t="n">
        <v>79</v>
      </c>
      <c r="G44" s="9" t="n">
        <v>4100000</v>
      </c>
      <c r="H44" s="10" t="n">
        <v>4600000</v>
      </c>
      <c r="I44" s="19" t="n">
        <v>6300000</v>
      </c>
      <c r="J44" s="20" t="n">
        <v>3250000</v>
      </c>
      <c r="K44" s="20" t="n"/>
      <c r="L44" s="38" t="inlineStr">
        <is>
          <t>Cánh Nhựa</t>
        </is>
      </c>
      <c r="R44" s="44" t="inlineStr">
        <is>
          <t>Không có trong catalogue đã duyệt – giữ nguyên thông số cũ</t>
        </is>
      </c>
    </row>
    <row r="45" ht="18" customHeight="1" s="1">
      <c r="A45" s="8" t="n">
        <v>17</v>
      </c>
      <c r="B45" s="8" t="inlineStr">
        <is>
          <t>VM2-9 X 9-1.5KW-220V</t>
        </is>
      </c>
      <c r="C45" s="8" t="n">
        <v>1.5</v>
      </c>
      <c r="D45" s="8" t="inlineStr">
        <is>
          <t>34-34</t>
        </is>
      </c>
      <c r="E45" s="8" t="n">
        <v>3.6</v>
      </c>
      <c r="F45" s="8" t="n">
        <v>79</v>
      </c>
      <c r="G45" s="9" t="n">
        <v>4500000</v>
      </c>
      <c r="H45" s="10" t="n">
        <v>5000000</v>
      </c>
      <c r="I45" s="19" t="n">
        <v>7000000</v>
      </c>
      <c r="J45" s="20" t="n">
        <v>3600000</v>
      </c>
      <c r="K45" s="20" t="n"/>
      <c r="L45" s="46" t="n"/>
      <c r="R45" s="44" t="inlineStr">
        <is>
          <t>Không có trong catalogue đã duyệt – giữ nguyên thông số cũ</t>
        </is>
      </c>
    </row>
    <row r="46" ht="18" customHeight="1" s="1">
      <c r="A46" s="14" t="n">
        <v>18</v>
      </c>
      <c r="B46" s="14" t="inlineStr">
        <is>
          <t>VM4-10 X 8 - 2.2KW-220V</t>
        </is>
      </c>
      <c r="C46" s="14" t="n">
        <v>2.2</v>
      </c>
      <c r="D46" s="14" t="inlineStr">
        <is>
          <t>34-34</t>
        </is>
      </c>
      <c r="E46" s="14" t="n">
        <v>3.7</v>
      </c>
      <c r="F46" s="14" t="n">
        <v>79</v>
      </c>
      <c r="G46" s="9" t="n">
        <v>5500000</v>
      </c>
      <c r="H46" s="10" t="n">
        <v>6200000</v>
      </c>
      <c r="I46" s="19" t="n">
        <v>8600000</v>
      </c>
      <c r="J46" s="20" t="n">
        <v>4400000</v>
      </c>
      <c r="K46" s="20" t="n"/>
      <c r="L46" s="46" t="n"/>
      <c r="R46" s="44" t="inlineStr">
        <is>
          <t>Không có trong catalogue đã duyệt – giữ nguyên thông số cũ</t>
        </is>
      </c>
    </row>
    <row r="47" ht="18" customHeight="1" s="1">
      <c r="A47" s="8" t="n">
        <v>19</v>
      </c>
      <c r="B47" s="8" t="inlineStr">
        <is>
          <t>VM2-9 X 9T-1.5KW-380V</t>
        </is>
      </c>
      <c r="C47" s="8" t="n">
        <v>1.5</v>
      </c>
      <c r="D47" s="8" t="inlineStr">
        <is>
          <t>34-34</t>
        </is>
      </c>
      <c r="E47" s="8" t="n">
        <v>3.8</v>
      </c>
      <c r="F47" s="8" t="n">
        <v>79</v>
      </c>
      <c r="G47" s="9" t="n">
        <v>4500000</v>
      </c>
      <c r="H47" s="10" t="n">
        <v>5000000</v>
      </c>
      <c r="I47" s="19" t="n">
        <v>7000000</v>
      </c>
      <c r="J47" s="20" t="n">
        <v>3600000</v>
      </c>
      <c r="K47" s="20" t="n"/>
      <c r="L47" s="46" t="n"/>
      <c r="R47" s="44" t="inlineStr">
        <is>
          <t>Không có trong catalogue đã duyệt – giữ nguyên thông số cũ</t>
        </is>
      </c>
    </row>
    <row r="48" ht="18" customHeight="1" s="1">
      <c r="A48" s="14" t="n">
        <v>20</v>
      </c>
      <c r="B48" s="14" t="inlineStr">
        <is>
          <t>VM4-10 X 8T-2.2KW-380V</t>
        </is>
      </c>
      <c r="C48" s="14" t="n">
        <v>2.2</v>
      </c>
      <c r="D48" s="14" t="inlineStr">
        <is>
          <t>34-34</t>
        </is>
      </c>
      <c r="E48" s="14" t="n">
        <v>3.9</v>
      </c>
      <c r="F48" s="14" t="n">
        <v>79</v>
      </c>
      <c r="G48" s="9" t="n">
        <v>5100000</v>
      </c>
      <c r="H48" s="10" t="n">
        <v>5700000</v>
      </c>
      <c r="I48" s="19" t="n">
        <v>8000000</v>
      </c>
      <c r="J48" s="20" t="n">
        <v>4100000</v>
      </c>
      <c r="K48" s="20" t="n"/>
      <c r="L48" s="45" t="n"/>
      <c r="R48" s="44" t="inlineStr">
        <is>
          <t>Không có trong catalogue đã duyệt – giữ nguyên thông số cũ</t>
        </is>
      </c>
    </row>
    <row r="49" ht="15" customHeight="1" s="1"/>
    <row r="50" ht="15" customHeight="1" s="1"/>
    <row r="51" ht="15" customHeight="1" s="1"/>
    <row r="52" ht="15" customHeight="1" s="1"/>
    <row r="53" ht="15" customHeight="1" s="1"/>
  </sheetData>
  <mergeCells count="2">
    <mergeCell ref="L44:L48"/>
    <mergeCell ref="L2:L43"/>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S63"/>
  <sheetViews>
    <sheetView zoomScaleNormal="100" workbookViewId="0">
      <pane xSplit="2" ySplit="1" topLeftCell="C2" activePane="bottomRight" state="frozen"/>
      <selection pane="topRight" activeCell="A1" sqref="A1"/>
      <selection pane="bottomLeft" activeCell="A1" sqref="A1"/>
      <selection pane="bottomRight" activeCell="J65" sqref="J65"/>
    </sheetView>
  </sheetViews>
  <sheetFormatPr baseColWidth="8" defaultColWidth="9.140625" defaultRowHeight="15"/>
  <cols>
    <col width="5" customWidth="1" style="29" min="1" max="1"/>
    <col width="24" customWidth="1" style="29" min="2" max="2"/>
    <col width="12" customWidth="1" style="29" min="3" max="4"/>
    <col width="13" customWidth="1" style="29" min="5" max="5"/>
    <col width="11" customWidth="1" style="29" min="6" max="6"/>
    <col width="13" customWidth="1" style="29" min="7" max="8"/>
    <col width="13" customWidth="1" style="30" min="9" max="9"/>
    <col width="14" customWidth="1" style="30" min="10" max="13"/>
    <col width="9.140625" customWidth="1" style="29" min="14" max="16384"/>
    <col width="16" customWidth="1" style="1" min="15" max="15"/>
    <col width="16" customWidth="1" style="1" min="16" max="16"/>
    <col width="16" customWidth="1" style="1" min="17" max="17"/>
    <col width="40" customWidth="1" style="1" min="18" max="18"/>
    <col width="45" customWidth="1" style="1" min="19" max="19"/>
  </cols>
  <sheetData>
    <row r="1" ht="30" customHeight="1" s="1">
      <c r="A1" s="2" t="inlineStr">
        <is>
          <t>STT</t>
        </is>
      </c>
      <c r="B1" s="2" t="inlineStr">
        <is>
          <t>MODEL</t>
        </is>
      </c>
      <c r="C1" s="2" t="inlineStr">
        <is>
          <t>Công suất (kW)</t>
        </is>
      </c>
      <c r="D1" s="2" t="inlineStr">
        <is>
          <t>Họng hút/xả (mm)</t>
        </is>
      </c>
      <c r="E1" s="2" t="inlineStr">
        <is>
          <t>Lưu lượng định mức (m3/h)</t>
        </is>
      </c>
      <c r="F1" s="2" t="inlineStr">
        <is>
          <t>Cột áp định mức (m)</t>
        </is>
      </c>
      <c r="G1" s="25" t="inlineStr">
        <is>
          <t>REDPUMP</t>
        </is>
      </c>
      <c r="H1" s="26" t="inlineStr">
        <is>
          <t>PEROTAC</t>
        </is>
      </c>
      <c r="I1" s="27" t="inlineStr">
        <is>
          <t>AQUARIS</t>
        </is>
      </c>
      <c r="J1" s="31" t="inlineStr">
        <is>
          <t>Giá nhập THINKING</t>
        </is>
      </c>
      <c r="K1" s="31" t="inlineStr">
        <is>
          <t>Giá nhập SW</t>
        </is>
      </c>
      <c r="L1" s="31" t="inlineStr">
        <is>
          <t>Giá nhập ĐL</t>
        </is>
      </c>
      <c r="M1" s="32" t="inlineStr">
        <is>
          <t>Nhóm</t>
        </is>
      </c>
      <c r="O1" s="42" t="inlineStr">
        <is>
          <t>Có trong catalogue REDPUMP</t>
        </is>
      </c>
      <c r="P1" s="42" t="inlineStr">
        <is>
          <t>Có trong catalogue PEROTAC</t>
        </is>
      </c>
      <c r="Q1" s="42" t="inlineStr">
        <is>
          <t>Có trong catalogue AQUARIS</t>
        </is>
      </c>
      <c r="R1" s="42" t="inlineStr">
        <is>
          <t>Nguồn thông số (catalogue đã duyệt)</t>
        </is>
      </c>
      <c r="S1" s="42" t="inlineStr">
        <is>
          <t>Ghi chú</t>
        </is>
      </c>
    </row>
    <row r="2" ht="18" customHeight="1" s="1">
      <c r="A2" s="8" t="n">
        <v>1</v>
      </c>
      <c r="B2" s="8" t="inlineStr">
        <is>
          <t>IRG32-125/0.75</t>
        </is>
      </c>
      <c r="C2" s="8" t="n">
        <v>0.75</v>
      </c>
      <c r="D2" s="8" t="n">
        <v>32</v>
      </c>
      <c r="E2" s="8" t="n">
        <v>5</v>
      </c>
      <c r="F2" s="8" t="n">
        <v>20</v>
      </c>
      <c r="G2" s="21">
        <f>ROUNDUP(K2*1.4, -5)</f>
        <v/>
      </c>
      <c r="H2" s="22">
        <f>ROUNDUP(K2*1.7, -5)</f>
        <v/>
      </c>
      <c r="I2" s="23">
        <f>ROUNDUP(K2*2.5, -5)</f>
        <v/>
      </c>
      <c r="J2" s="33" t="n"/>
      <c r="K2" s="34" t="n">
        <v>4263000</v>
      </c>
      <c r="L2" s="33" t="n"/>
      <c r="M2" s="40" t="inlineStr">
        <is>
          <t>Inline</t>
        </is>
      </c>
      <c r="N2" s="41" t="inlineStr">
        <is>
          <t>1.5KW đóng xuống</t>
        </is>
      </c>
      <c r="O2" s="8" t="inlineStr">
        <is>
          <t>Có</t>
        </is>
      </c>
      <c r="P2" s="8" t="inlineStr">
        <is>
          <t>Có</t>
        </is>
      </c>
      <c r="Q2" s="8" t="inlineStr">
        <is>
          <t>Có</t>
        </is>
      </c>
      <c r="R2" s="8" t="inlineStr">
        <is>
          <t>PEROTAC - Bơm trục đứng IRG.pdf, tr.2 (hãng khác: REDPUMP, AQUARIS)</t>
        </is>
      </c>
    </row>
    <row r="3" ht="18" customHeight="1" s="1">
      <c r="A3" s="14" t="n">
        <v>2</v>
      </c>
      <c r="B3" s="14" t="inlineStr">
        <is>
          <t>IRG40-100/0.75</t>
        </is>
      </c>
      <c r="C3" s="14" t="n">
        <v>0.75</v>
      </c>
      <c r="D3" s="14" t="n">
        <v>40</v>
      </c>
      <c r="E3" s="43" t="n">
        <v>11</v>
      </c>
      <c r="F3" s="43" t="n">
        <v>10</v>
      </c>
      <c r="G3" s="21">
        <f>ROUNDUP(K3*1.4, -5)</f>
        <v/>
      </c>
      <c r="H3" s="22">
        <f>ROUNDUP(K3*1.7, -5)</f>
        <v/>
      </c>
      <c r="I3" s="23">
        <f>ROUNDUP(K3*2.5, -5)</f>
        <v/>
      </c>
      <c r="J3" s="33" t="n"/>
      <c r="K3" s="34" t="n">
        <v>4263000</v>
      </c>
      <c r="L3" s="35" t="n"/>
      <c r="M3" s="46" t="n"/>
      <c r="N3" s="48" t="n"/>
      <c r="O3" s="14" t="inlineStr">
        <is>
          <t>Có</t>
        </is>
      </c>
      <c r="P3" s="14" t="inlineStr">
        <is>
          <t>Có</t>
        </is>
      </c>
      <c r="Q3" s="14" t="inlineStr">
        <is>
          <t>Có</t>
        </is>
      </c>
      <c r="R3" s="14" t="inlineStr">
        <is>
          <t>PEROTAC - Bơm trục đứng IRG.pdf, tr.2 (hãng khác: REDPUMP, AQUARIS)</t>
        </is>
      </c>
    </row>
    <row r="4" ht="18" customHeight="1" s="1">
      <c r="A4" s="8" t="n">
        <v>3</v>
      </c>
      <c r="B4" s="8" t="inlineStr">
        <is>
          <t>IRG50-100/0.75</t>
        </is>
      </c>
      <c r="C4" s="8" t="n">
        <v>0.75</v>
      </c>
      <c r="D4" s="8" t="n">
        <v>50</v>
      </c>
      <c r="E4" s="8" t="inlineStr">
        <is>
          <t>11,2</t>
        </is>
      </c>
      <c r="F4" s="8" t="n">
        <v>10</v>
      </c>
      <c r="G4" s="21">
        <f>ROUNDUP(K4*1.4, -5)</f>
        <v/>
      </c>
      <c r="H4" s="22">
        <f>ROUNDUP(K4*1.7, -5)</f>
        <v/>
      </c>
      <c r="I4" s="23">
        <f>ROUNDUP(K4*2.5, -5)</f>
        <v/>
      </c>
      <c r="J4" s="33" t="n"/>
      <c r="K4" s="34" t="n">
        <v>4263000</v>
      </c>
      <c r="L4" s="33" t="n"/>
      <c r="M4" s="46" t="n"/>
      <c r="N4" s="48" t="n"/>
      <c r="S4" s="44" t="inlineStr">
        <is>
          <t>Không có trong catalogue đã duyệt – giữ nguyên thông số cũ</t>
        </is>
      </c>
    </row>
    <row r="5" ht="18" customHeight="1" s="1">
      <c r="A5" s="14" t="n">
        <v>4</v>
      </c>
      <c r="B5" s="14" t="inlineStr">
        <is>
          <t>IRG32-160/1.1</t>
        </is>
      </c>
      <c r="C5" s="14" t="n">
        <v>1.1</v>
      </c>
      <c r="D5" s="14" t="n">
        <v>32</v>
      </c>
      <c r="E5" s="14" t="n">
        <v>4</v>
      </c>
      <c r="F5" s="14" t="n">
        <v>28</v>
      </c>
      <c r="G5" s="21">
        <f>ROUNDUP(K5*1.4, -5)</f>
        <v/>
      </c>
      <c r="H5" s="22">
        <f>ROUNDUP(K5*1.7, -5)</f>
        <v/>
      </c>
      <c r="I5" s="23">
        <f>ROUNDUP(K5*2.5, -5)</f>
        <v/>
      </c>
      <c r="J5" s="33" t="n"/>
      <c r="K5" s="34" t="n">
        <v>4263000</v>
      </c>
      <c r="L5" s="35" t="n"/>
      <c r="M5" s="46" t="n"/>
      <c r="N5" s="48" t="n"/>
      <c r="O5" s="14" t="inlineStr">
        <is>
          <t>Có</t>
        </is>
      </c>
      <c r="P5" s="14" t="inlineStr">
        <is>
          <t>Có</t>
        </is>
      </c>
      <c r="Q5" s="14" t="inlineStr">
        <is>
          <t>Có</t>
        </is>
      </c>
      <c r="R5" s="14" t="inlineStr">
        <is>
          <t>PEROTAC - Bơm trục đứng IRG.pdf, tr.2 (hãng khác: REDPUMP, AQUARIS)</t>
        </is>
      </c>
    </row>
    <row r="6" ht="18" customHeight="1" s="1">
      <c r="A6" s="8" t="n">
        <v>5</v>
      </c>
      <c r="B6" s="8" t="inlineStr">
        <is>
          <t>IRG40-100/1.1</t>
        </is>
      </c>
      <c r="C6" s="8" t="n">
        <v>1.1</v>
      </c>
      <c r="D6" s="8" t="n">
        <v>40</v>
      </c>
      <c r="E6" s="43" t="n">
        <v>12.5</v>
      </c>
      <c r="F6" s="43" t="n">
        <v>12.5</v>
      </c>
      <c r="G6" s="21">
        <f>ROUNDUP(K6*1.4, -5)</f>
        <v/>
      </c>
      <c r="H6" s="22">
        <f>ROUNDUP(K6*1.7, -5)</f>
        <v/>
      </c>
      <c r="I6" s="23">
        <f>ROUNDUP(K6*2.5, -5)</f>
        <v/>
      </c>
      <c r="J6" s="33" t="n"/>
      <c r="K6" s="34" t="n">
        <v>4263000</v>
      </c>
      <c r="L6" s="33" t="n"/>
      <c r="M6" s="46" t="n"/>
      <c r="N6" s="48" t="n"/>
      <c r="O6" s="8" t="inlineStr">
        <is>
          <t>Có</t>
        </is>
      </c>
      <c r="P6" s="8" t="inlineStr">
        <is>
          <t>Có</t>
        </is>
      </c>
      <c r="Q6" s="8" t="inlineStr">
        <is>
          <t>Có</t>
        </is>
      </c>
      <c r="R6" s="8" t="inlineStr">
        <is>
          <t>PEROTAC - Bơm trục đứng IRG.pdf, tr.2 (hãng khác: REDPUMP, AQUARIS)</t>
        </is>
      </c>
    </row>
    <row r="7" ht="18" customHeight="1" s="1">
      <c r="A7" s="14" t="n">
        <v>6</v>
      </c>
      <c r="B7" s="14" t="inlineStr">
        <is>
          <t>IRG50-125/1.1</t>
        </is>
      </c>
      <c r="C7" s="14" t="n">
        <v>1.1</v>
      </c>
      <c r="D7" s="14" t="n">
        <v>50</v>
      </c>
      <c r="E7" s="14" t="inlineStr">
        <is>
          <t>14,5</t>
        </is>
      </c>
      <c r="F7" s="14" t="n">
        <v>17</v>
      </c>
      <c r="G7" s="21">
        <f>ROUNDUP(K7*1.4, -5)</f>
        <v/>
      </c>
      <c r="H7" s="22">
        <f>ROUNDUP(K7*1.7, -5)</f>
        <v/>
      </c>
      <c r="I7" s="23">
        <f>ROUNDUP(K7*2.5, -5)</f>
        <v/>
      </c>
      <c r="J7" s="35" t="n"/>
      <c r="K7" s="34" t="n">
        <v>4263000</v>
      </c>
      <c r="L7" s="35" t="n"/>
      <c r="M7" s="46" t="n"/>
      <c r="N7" s="48" t="n"/>
      <c r="S7" s="44" t="inlineStr">
        <is>
          <t>Không có trong catalogue đã duyệt – giữ nguyên thông số cũ</t>
        </is>
      </c>
    </row>
    <row r="8" ht="18" customHeight="1" s="1">
      <c r="A8" s="8" t="n">
        <v>7</v>
      </c>
      <c r="B8" s="8" t="inlineStr">
        <is>
          <t>IRG40-125/1.5</t>
        </is>
      </c>
      <c r="C8" s="8" t="n">
        <v>1.5</v>
      </c>
      <c r="D8" s="8" t="n">
        <v>40</v>
      </c>
      <c r="E8" s="8" t="inlineStr">
        <is>
          <t>12,5</t>
        </is>
      </c>
      <c r="F8" s="8" t="n">
        <v>20</v>
      </c>
      <c r="G8" s="21">
        <f>ROUNDUP(J8*1.4, -5)</f>
        <v/>
      </c>
      <c r="H8" s="22">
        <f>ROUNDUP(J8*1.7, -5)</f>
        <v/>
      </c>
      <c r="I8" s="23">
        <f>ROUNDUP(J8*2.5, -5)</f>
        <v/>
      </c>
      <c r="J8" s="33" t="n">
        <v>5408000</v>
      </c>
      <c r="K8" s="35" t="n">
        <v>4263000</v>
      </c>
      <c r="L8" s="34">
        <f>3500000/1.08</f>
        <v/>
      </c>
      <c r="M8" s="46" t="n"/>
      <c r="O8" s="8" t="inlineStr">
        <is>
          <t>Có</t>
        </is>
      </c>
      <c r="P8" s="8" t="inlineStr">
        <is>
          <t>Có</t>
        </is>
      </c>
      <c r="Q8" s="8" t="inlineStr">
        <is>
          <t>Có</t>
        </is>
      </c>
      <c r="R8" s="8" t="inlineStr">
        <is>
          <t>PEROTAC - Bơm trục đứng IRG.pdf, tr.2 (hãng khác: REDPUMP, AQUARIS)</t>
        </is>
      </c>
    </row>
    <row r="9" ht="18" customHeight="1" s="1">
      <c r="A9" s="14" t="n">
        <v>8</v>
      </c>
      <c r="B9" s="14" t="inlineStr">
        <is>
          <t>IRG50-100/1.5</t>
        </is>
      </c>
      <c r="C9" s="14" t="n">
        <v>1.5</v>
      </c>
      <c r="D9" s="14" t="n">
        <v>50</v>
      </c>
      <c r="E9" s="14" t="n">
        <v>25</v>
      </c>
      <c r="F9" s="14" t="inlineStr">
        <is>
          <t>12,5</t>
        </is>
      </c>
      <c r="G9" s="21">
        <f>ROUNDUP(J9*1.4, -5)</f>
        <v/>
      </c>
      <c r="H9" s="22">
        <f>ROUNDUP(J9*1.7, -5)</f>
        <v/>
      </c>
      <c r="I9" s="23">
        <f>ROUNDUP(J9*2.5, -5)</f>
        <v/>
      </c>
      <c r="J9" s="33" t="n">
        <v>5408000</v>
      </c>
      <c r="K9" s="35" t="n">
        <v>4263000</v>
      </c>
      <c r="L9" s="33" t="n"/>
      <c r="M9" s="46" t="n"/>
      <c r="O9" s="14" t="inlineStr">
        <is>
          <t>Có</t>
        </is>
      </c>
      <c r="P9" s="14" t="inlineStr">
        <is>
          <t>Có</t>
        </is>
      </c>
      <c r="Q9" s="14" t="inlineStr">
        <is>
          <t>Có</t>
        </is>
      </c>
      <c r="R9" s="14" t="inlineStr">
        <is>
          <t>PEROTAC - Bơm trục đứng IRG.pdf, tr.2 (hãng khác: REDPUMP, AQUARIS)</t>
        </is>
      </c>
    </row>
    <row r="10" ht="18" customHeight="1" s="1">
      <c r="A10" s="8" t="n">
        <v>9</v>
      </c>
      <c r="B10" s="8" t="inlineStr">
        <is>
          <t>IRG65-100/1.5</t>
        </is>
      </c>
      <c r="C10" s="8" t="n">
        <v>1.5</v>
      </c>
      <c r="D10" s="8" t="n">
        <v>65</v>
      </c>
      <c r="E10" s="8" t="n">
        <v>25</v>
      </c>
      <c r="F10" s="8" t="inlineStr">
        <is>
          <t>12,5</t>
        </is>
      </c>
      <c r="G10" s="21">
        <f>ROUNDUP(J10*1.4, -5)</f>
        <v/>
      </c>
      <c r="H10" s="22">
        <f>ROUNDUP(J10*1.7, -5)</f>
        <v/>
      </c>
      <c r="I10" s="23">
        <f>ROUNDUP(J10*2.5, -5)</f>
        <v/>
      </c>
      <c r="J10" s="33" t="n">
        <v>5408000</v>
      </c>
      <c r="K10" s="35" t="n">
        <v>4263000</v>
      </c>
      <c r="L10" s="33" t="n"/>
      <c r="M10" s="46" t="n"/>
      <c r="S10" s="44" t="inlineStr">
        <is>
          <t>Không có trong catalogue đã duyệt – giữ nguyên thông số cũ</t>
        </is>
      </c>
    </row>
    <row r="11" ht="18" customHeight="1" s="1">
      <c r="A11" s="14" t="n">
        <v>10</v>
      </c>
      <c r="B11" s="14" t="inlineStr">
        <is>
          <t>IRG40-160/2.2</t>
        </is>
      </c>
      <c r="C11" s="14" t="n">
        <v>2.2</v>
      </c>
      <c r="D11" s="14" t="n">
        <v>40</v>
      </c>
      <c r="E11" s="43" t="n">
        <v>11.7</v>
      </c>
      <c r="F11" s="43" t="n">
        <v>28</v>
      </c>
      <c r="G11" s="21">
        <f>ROUNDUP(J11*1.4, -5)</f>
        <v/>
      </c>
      <c r="H11" s="22">
        <f>ROUNDUP(J11*1.7, -5)</f>
        <v/>
      </c>
      <c r="I11" s="23">
        <f>ROUNDUP(J11*2.5, -5)</f>
        <v/>
      </c>
      <c r="J11" s="35" t="n">
        <v>5702400</v>
      </c>
      <c r="K11" s="35" t="n">
        <v>4888000</v>
      </c>
      <c r="L11" s="35" t="n"/>
      <c r="M11" s="46" t="n"/>
      <c r="O11" s="14" t="inlineStr">
        <is>
          <t>Có</t>
        </is>
      </c>
      <c r="P11" s="14" t="inlineStr">
        <is>
          <t>Có</t>
        </is>
      </c>
      <c r="Q11" s="14" t="inlineStr">
        <is>
          <t>Có</t>
        </is>
      </c>
      <c r="R11" s="14" t="inlineStr">
        <is>
          <t>PEROTAC - Bơm trục đứng IRG.pdf, tr.2 (hãng khác: REDPUMP, AQUARIS)</t>
        </is>
      </c>
    </row>
    <row r="12" ht="18" customHeight="1" s="1">
      <c r="A12" s="8" t="n">
        <v>11</v>
      </c>
      <c r="B12" s="8" t="inlineStr">
        <is>
          <t>IRG50-160/2.2</t>
        </is>
      </c>
      <c r="C12" s="8" t="n">
        <v>2.2</v>
      </c>
      <c r="D12" s="8" t="n">
        <v>50</v>
      </c>
      <c r="E12" s="8" t="inlineStr">
        <is>
          <t>11,7</t>
        </is>
      </c>
      <c r="F12" s="8" t="n">
        <v>28</v>
      </c>
      <c r="G12" s="21">
        <f>ROUNDUP(J12*1.4, -5)</f>
        <v/>
      </c>
      <c r="H12" s="22">
        <f>ROUNDUP(J12*1.7, -5)</f>
        <v/>
      </c>
      <c r="I12" s="23">
        <f>ROUNDUP(J12*2.5, -5)</f>
        <v/>
      </c>
      <c r="J12" s="35" t="n">
        <v>5702400</v>
      </c>
      <c r="K12" s="35" t="n">
        <v>4888000</v>
      </c>
      <c r="L12" s="34">
        <f>3900000/1.08</f>
        <v/>
      </c>
      <c r="M12" s="46" t="n"/>
      <c r="S12" s="44" t="inlineStr">
        <is>
          <t>Không có trong catalogue đã duyệt – giữ nguyên thông số cũ</t>
        </is>
      </c>
    </row>
    <row r="13" ht="18" customHeight="1" s="1">
      <c r="A13" s="14" t="n">
        <v>12</v>
      </c>
      <c r="B13" s="14" t="inlineStr">
        <is>
          <t>IRG65-100/2.2</t>
        </is>
      </c>
      <c r="C13" s="14" t="n">
        <v>2.2</v>
      </c>
      <c r="D13" s="14" t="n">
        <v>65</v>
      </c>
      <c r="E13" s="43" t="n">
        <v>44.7</v>
      </c>
      <c r="F13" s="14" t="n">
        <v>10</v>
      </c>
      <c r="G13" s="21">
        <f>ROUNDUP(J13*1.4, -5)</f>
        <v/>
      </c>
      <c r="H13" s="22">
        <f>ROUNDUP(J13*1.7, -5)</f>
        <v/>
      </c>
      <c r="I13" s="23">
        <f>ROUNDUP(J13*2.5, -5)</f>
        <v/>
      </c>
      <c r="J13" s="35" t="n">
        <v>5702400</v>
      </c>
      <c r="K13" s="35" t="n">
        <v>4888000</v>
      </c>
      <c r="L13" s="35" t="n"/>
      <c r="M13" s="46" t="n"/>
      <c r="O13" s="14" t="inlineStr">
        <is>
          <t>Có</t>
        </is>
      </c>
      <c r="P13" s="14" t="inlineStr">
        <is>
          <t>Có</t>
        </is>
      </c>
      <c r="Q13" s="14" t="inlineStr">
        <is>
          <t>Có</t>
        </is>
      </c>
      <c r="R13" s="14" t="inlineStr">
        <is>
          <t>PEROTAC - Bơm trục đứng IRG.pdf, tr.2 (hãng khác: REDPUMP, AQUARIS)</t>
        </is>
      </c>
    </row>
    <row r="14" ht="18" customHeight="1" s="1">
      <c r="A14" s="8" t="n">
        <v>13</v>
      </c>
      <c r="B14" s="8" t="inlineStr">
        <is>
          <t>IRG80-100/2.2</t>
        </is>
      </c>
      <c r="C14" s="8" t="n">
        <v>2.2</v>
      </c>
      <c r="D14" s="8" t="n">
        <v>80</v>
      </c>
      <c r="E14" s="8" t="inlineStr">
        <is>
          <t>44,8</t>
        </is>
      </c>
      <c r="F14" s="8" t="n">
        <v>10</v>
      </c>
      <c r="G14" s="21">
        <f>ROUNDUP(J14*1.4, -5)</f>
        <v/>
      </c>
      <c r="H14" s="22">
        <f>ROUNDUP(J14*1.7, -5)</f>
        <v/>
      </c>
      <c r="I14" s="23">
        <f>ROUNDUP(J14*2.5, -5)</f>
        <v/>
      </c>
      <c r="J14" s="35" t="n">
        <v>5702400</v>
      </c>
      <c r="K14" s="35" t="n">
        <v>4888000</v>
      </c>
      <c r="L14" s="35" t="n"/>
      <c r="M14" s="46" t="n"/>
      <c r="S14" s="44" t="inlineStr">
        <is>
          <t>Không có trong catalogue đã duyệt – giữ nguyên thông số cũ</t>
        </is>
      </c>
    </row>
    <row r="15" ht="18" customHeight="1" s="1">
      <c r="A15" s="14" t="n">
        <v>14</v>
      </c>
      <c r="B15" s="14" t="inlineStr">
        <is>
          <t>IRG40-200/3</t>
        </is>
      </c>
      <c r="C15" s="14" t="n">
        <v>3</v>
      </c>
      <c r="D15" s="14" t="n">
        <v>40</v>
      </c>
      <c r="E15" s="43" t="n">
        <v>10.6</v>
      </c>
      <c r="F15" s="43" t="n">
        <v>36</v>
      </c>
      <c r="G15" s="21">
        <f>ROUNDUP(J15*1.4, -5)</f>
        <v/>
      </c>
      <c r="H15" s="22">
        <f>ROUNDUP(J15*1.7, -5)</f>
        <v/>
      </c>
      <c r="I15" s="23">
        <f>ROUNDUP(J15*2.5, -5)</f>
        <v/>
      </c>
      <c r="J15" s="35" t="n">
        <v>5964400</v>
      </c>
      <c r="K15" s="35" t="n">
        <v>6248000</v>
      </c>
      <c r="L15" s="35" t="n"/>
      <c r="M15" s="46" t="n"/>
      <c r="O15" s="14" t="inlineStr">
        <is>
          <t>Có</t>
        </is>
      </c>
      <c r="P15" s="14" t="inlineStr">
        <is>
          <t>Có</t>
        </is>
      </c>
      <c r="Q15" s="14" t="inlineStr">
        <is>
          <t>Có</t>
        </is>
      </c>
      <c r="R15" s="14" t="inlineStr">
        <is>
          <t>PEROTAC - Bơm trục đứng IRG.pdf, tr.2 (hãng khác: REDPUMP, AQUARIS)</t>
        </is>
      </c>
    </row>
    <row r="16" ht="18" customHeight="1" s="1">
      <c r="A16" s="8" t="n">
        <v>15</v>
      </c>
      <c r="B16" s="8" t="inlineStr">
        <is>
          <t>IRG50-160/3</t>
        </is>
      </c>
      <c r="C16" s="8" t="n">
        <v>3</v>
      </c>
      <c r="D16" s="8" t="n">
        <v>50</v>
      </c>
      <c r="E16" s="43" t="n">
        <v>21.6</v>
      </c>
      <c r="F16" s="43" t="n">
        <v>24</v>
      </c>
      <c r="G16" s="21">
        <f>ROUNDUP(J16*1.4, -5)</f>
        <v/>
      </c>
      <c r="H16" s="22">
        <f>ROUNDUP(J16*1.7, -5)</f>
        <v/>
      </c>
      <c r="I16" s="23">
        <f>ROUNDUP(J16*2.5, -5)</f>
        <v/>
      </c>
      <c r="J16" s="35" t="n">
        <v>5964400</v>
      </c>
      <c r="K16" s="35" t="n">
        <v>6248000</v>
      </c>
      <c r="L16" s="35" t="n"/>
      <c r="M16" s="46" t="n"/>
      <c r="O16" s="8" t="inlineStr">
        <is>
          <t>Có</t>
        </is>
      </c>
      <c r="P16" s="8" t="inlineStr">
        <is>
          <t>Có</t>
        </is>
      </c>
      <c r="Q16" s="8" t="inlineStr">
        <is>
          <t>Có</t>
        </is>
      </c>
      <c r="R16" s="8" t="inlineStr">
        <is>
          <t>PEROTAC - Bơm trục đứng IRG.pdf, tr.2 (hãng khác: REDPUMP, AQUARIS)</t>
        </is>
      </c>
    </row>
    <row r="17" ht="18" customHeight="1" s="1">
      <c r="A17" s="14" t="n">
        <v>16</v>
      </c>
      <c r="B17" s="14" t="inlineStr">
        <is>
          <t>IRG65-125/3</t>
        </is>
      </c>
      <c r="C17" s="14" t="n">
        <v>3</v>
      </c>
      <c r="D17" s="14" t="n">
        <v>65</v>
      </c>
      <c r="E17" s="14" t="n">
        <v>25</v>
      </c>
      <c r="F17" s="14" t="n">
        <v>20</v>
      </c>
      <c r="G17" s="21">
        <f>ROUNDUP(J17*1.4, -5)</f>
        <v/>
      </c>
      <c r="H17" s="22">
        <f>ROUNDUP(J17*1.7, -5)</f>
        <v/>
      </c>
      <c r="I17" s="23">
        <f>ROUNDUP(J17*2.5, -5)</f>
        <v/>
      </c>
      <c r="J17" s="35" t="n">
        <v>5964400</v>
      </c>
      <c r="K17" s="35" t="n">
        <v>6248000</v>
      </c>
      <c r="L17" s="34">
        <f>5500000/1.08</f>
        <v/>
      </c>
      <c r="M17" s="46" t="n"/>
      <c r="S17" s="44" t="inlineStr">
        <is>
          <t>Không có trong catalogue đã duyệt – giữ nguyên thông số cũ</t>
        </is>
      </c>
    </row>
    <row r="18" ht="18" customHeight="1" s="1">
      <c r="A18" s="8" t="n">
        <v>17</v>
      </c>
      <c r="B18" s="8" t="inlineStr">
        <is>
          <t>IRG80-100/3</t>
        </is>
      </c>
      <c r="C18" s="8" t="n">
        <v>3</v>
      </c>
      <c r="D18" s="8" t="n">
        <v>80</v>
      </c>
      <c r="E18" s="8" t="n">
        <v>50</v>
      </c>
      <c r="F18" s="8" t="inlineStr">
        <is>
          <t>12,5</t>
        </is>
      </c>
      <c r="G18" s="21">
        <f>ROUNDUP(J18*1.4, -5)</f>
        <v/>
      </c>
      <c r="H18" s="22">
        <f>ROUNDUP(J18*1.7, -5)</f>
        <v/>
      </c>
      <c r="I18" s="23">
        <f>ROUNDUP(J18*2.5, -5)</f>
        <v/>
      </c>
      <c r="J18" s="35" t="n">
        <v>5964400</v>
      </c>
      <c r="K18" s="35" t="n">
        <v>6248000</v>
      </c>
      <c r="L18" s="35" t="n"/>
      <c r="M18" s="46" t="n"/>
      <c r="S18" s="44" t="inlineStr">
        <is>
          <t>Không có trong catalogue đã duyệt – giữ nguyên thông số cũ</t>
        </is>
      </c>
    </row>
    <row r="19" ht="18" customHeight="1" s="1">
      <c r="A19" s="14" t="n">
        <v>18</v>
      </c>
      <c r="B19" s="14" t="inlineStr">
        <is>
          <t>IRG40-200/4</t>
        </is>
      </c>
      <c r="C19" s="14" t="n">
        <v>4</v>
      </c>
      <c r="D19" s="14" t="n">
        <v>40</v>
      </c>
      <c r="E19" s="43" t="n">
        <v>11.7</v>
      </c>
      <c r="F19" s="43" t="n">
        <v>44</v>
      </c>
      <c r="G19" s="21">
        <f>ROUNDUP(J19*1.4, -5)</f>
        <v/>
      </c>
      <c r="H19" s="22">
        <f>ROUNDUP(J19*1.7, -5)</f>
        <v/>
      </c>
      <c r="I19" s="23">
        <f>ROUNDUP(J19*2.5, -5)</f>
        <v/>
      </c>
      <c r="J19" s="35" t="n">
        <v>6246400</v>
      </c>
      <c r="K19" s="35" t="n">
        <v>6600000</v>
      </c>
      <c r="L19" s="35" t="n"/>
      <c r="M19" s="46" t="n"/>
      <c r="O19" s="14" t="inlineStr">
        <is>
          <t>Có</t>
        </is>
      </c>
      <c r="P19" s="14" t="inlineStr">
        <is>
          <t>Có</t>
        </is>
      </c>
      <c r="Q19" s="14" t="inlineStr">
        <is>
          <t>Có</t>
        </is>
      </c>
      <c r="R19" s="14" t="inlineStr">
        <is>
          <t>PEROTAC - Bơm trục đứng IRG.pdf, tr.2 (hãng khác: REDPUMP, AQUARIS)</t>
        </is>
      </c>
    </row>
    <row r="20" ht="18" customHeight="1" s="1">
      <c r="A20" s="8" t="n">
        <v>19</v>
      </c>
      <c r="B20" s="8" t="inlineStr">
        <is>
          <t>IRG50-160/4</t>
        </is>
      </c>
      <c r="C20" s="8" t="n">
        <v>4</v>
      </c>
      <c r="D20" s="8" t="n">
        <v>50</v>
      </c>
      <c r="E20" s="8" t="n">
        <v>25</v>
      </c>
      <c r="F20" s="8" t="n">
        <v>32</v>
      </c>
      <c r="G20" s="21">
        <f>ROUNDUP(J20*1.4, -5)</f>
        <v/>
      </c>
      <c r="H20" s="22">
        <f>ROUNDUP(J20*1.7, -5)</f>
        <v/>
      </c>
      <c r="I20" s="23">
        <f>ROUNDUP(J20*2.5, -5)</f>
        <v/>
      </c>
      <c r="J20" s="35" t="n">
        <v>6246400</v>
      </c>
      <c r="K20" s="35" t="n">
        <v>6600000</v>
      </c>
      <c r="L20" s="35" t="n"/>
      <c r="M20" s="46" t="n"/>
      <c r="O20" s="8" t="inlineStr">
        <is>
          <t>Có</t>
        </is>
      </c>
      <c r="P20" s="8" t="inlineStr">
        <is>
          <t>Có</t>
        </is>
      </c>
      <c r="Q20" s="8" t="inlineStr">
        <is>
          <t>Có</t>
        </is>
      </c>
      <c r="R20" s="8" t="inlineStr">
        <is>
          <t>PEROTAC - Bơm trục đứng IRG.pdf, tr.2 (hãng khác: REDPUMP, AQUARIS)</t>
        </is>
      </c>
    </row>
    <row r="21" ht="18" customHeight="1" s="1">
      <c r="A21" s="14" t="n">
        <v>20</v>
      </c>
      <c r="B21" s="14" t="inlineStr">
        <is>
          <t>IRG65-160/4</t>
        </is>
      </c>
      <c r="C21" s="14" t="n">
        <v>4</v>
      </c>
      <c r="D21" s="14" t="n">
        <v>65</v>
      </c>
      <c r="E21" s="14" t="n">
        <v>30</v>
      </c>
      <c r="F21" s="14" t="n">
        <v>34</v>
      </c>
      <c r="G21" s="21">
        <f>ROUNDUP(J21*1.4, -5)</f>
        <v/>
      </c>
      <c r="H21" s="22">
        <f>ROUNDUP(J21*1.7, -5)</f>
        <v/>
      </c>
      <c r="I21" s="23">
        <f>ROUNDUP(J21*2.5, -5)</f>
        <v/>
      </c>
      <c r="J21" s="34" t="n">
        <v>6246400</v>
      </c>
      <c r="K21" s="35" t="n">
        <v>6600000</v>
      </c>
      <c r="L21" s="35">
        <f>6800000/1.08</f>
        <v/>
      </c>
      <c r="M21" s="46" t="n"/>
      <c r="S21" s="44" t="inlineStr">
        <is>
          <t>Không có trong catalogue đã duyệt – giữ nguyên thông số cũ</t>
        </is>
      </c>
    </row>
    <row r="22" ht="18" customHeight="1" s="1">
      <c r="A22" s="8" t="n">
        <v>21</v>
      </c>
      <c r="B22" s="8" t="inlineStr">
        <is>
          <t>IRG80-100/4</t>
        </is>
      </c>
      <c r="C22" s="8" t="n">
        <v>4</v>
      </c>
      <c r="D22" s="8" t="n">
        <v>80</v>
      </c>
      <c r="E22" s="43" t="n">
        <v>89</v>
      </c>
      <c r="F22" s="8" t="n">
        <v>10</v>
      </c>
      <c r="G22" s="21">
        <f>ROUNDUP(J22*1.4, -5)</f>
        <v/>
      </c>
      <c r="H22" s="22">
        <f>ROUNDUP(J22*1.7, -5)</f>
        <v/>
      </c>
      <c r="I22" s="23">
        <f>ROUNDUP(J22*2.5, -5)</f>
        <v/>
      </c>
      <c r="J22" s="34" t="n">
        <v>6246400</v>
      </c>
      <c r="K22" s="35" t="n">
        <v>6600000</v>
      </c>
      <c r="L22" s="35" t="n"/>
      <c r="M22" s="46" t="n"/>
      <c r="O22" s="8" t="inlineStr">
        <is>
          <t>Có</t>
        </is>
      </c>
      <c r="P22" s="8" t="inlineStr">
        <is>
          <t>Có</t>
        </is>
      </c>
      <c r="Q22" s="8" t="inlineStr">
        <is>
          <t>Có</t>
        </is>
      </c>
      <c r="R22" s="8" t="inlineStr">
        <is>
          <t>PEROTAC - Bơm trục đứng IRG.pdf, tr.2 (hãng khác: REDPUMP, AQUARIS)</t>
        </is>
      </c>
    </row>
    <row r="23" ht="18" customHeight="1" s="1">
      <c r="A23" s="14" t="n">
        <v>22</v>
      </c>
      <c r="B23" s="14" t="inlineStr">
        <is>
          <t>IRG80-125/4</t>
        </is>
      </c>
      <c r="C23" s="14" t="n">
        <v>4</v>
      </c>
      <c r="D23" s="14" t="n">
        <v>80</v>
      </c>
      <c r="E23" s="14" t="n">
        <v>50</v>
      </c>
      <c r="F23" s="14" t="n">
        <v>20</v>
      </c>
      <c r="G23" s="21">
        <f>ROUNDUP(J23*1.4, -5)</f>
        <v/>
      </c>
      <c r="H23" s="22">
        <f>ROUNDUP(J23*1.7, -5)</f>
        <v/>
      </c>
      <c r="I23" s="23">
        <f>ROUNDUP(J23*2.5, -5)</f>
        <v/>
      </c>
      <c r="J23" s="34" t="n">
        <v>6246400</v>
      </c>
      <c r="K23" s="35" t="n">
        <v>6600000</v>
      </c>
      <c r="L23" s="35" t="n"/>
      <c r="M23" s="46" t="n"/>
      <c r="S23" s="44" t="inlineStr">
        <is>
          <t>Không có trong catalogue đã duyệt – giữ nguyên thông số cũ</t>
        </is>
      </c>
    </row>
    <row r="24" ht="18" customHeight="1" s="1">
      <c r="A24" s="8" t="n">
        <v>23</v>
      </c>
      <c r="B24" s="8" t="inlineStr">
        <is>
          <t>IRG100-100/4</t>
        </is>
      </c>
      <c r="C24" s="8" t="n">
        <v>4</v>
      </c>
      <c r="D24" s="8" t="n">
        <v>100</v>
      </c>
      <c r="E24" s="8" t="n">
        <v>89</v>
      </c>
      <c r="F24" s="8" t="n">
        <v>10</v>
      </c>
      <c r="G24" s="21">
        <f>ROUNDUP(J24*1.4, -5)</f>
        <v/>
      </c>
      <c r="H24" s="22">
        <f>ROUNDUP(J24*1.7, -5)</f>
        <v/>
      </c>
      <c r="I24" s="23">
        <f>ROUNDUP(J24*2.5, -5)</f>
        <v/>
      </c>
      <c r="J24" s="34" t="n">
        <v>6246400</v>
      </c>
      <c r="K24" s="35" t="n">
        <v>6600000</v>
      </c>
      <c r="L24" s="33" t="n"/>
      <c r="M24" s="46" t="n"/>
      <c r="S24" s="44" t="inlineStr">
        <is>
          <t>Không có trong catalogue đã duyệt – giữ nguyên thông số cũ</t>
        </is>
      </c>
    </row>
    <row r="25" ht="18" customHeight="1" s="1">
      <c r="A25" s="14" t="n">
        <v>24</v>
      </c>
      <c r="B25" s="14" t="inlineStr">
        <is>
          <t>IRG40-250/5.5</t>
        </is>
      </c>
      <c r="C25" s="14" t="n">
        <v>5.5</v>
      </c>
      <c r="D25" s="14" t="n">
        <v>40</v>
      </c>
      <c r="E25" s="14" t="n">
        <v>6</v>
      </c>
      <c r="F25" s="14" t="n">
        <v>70</v>
      </c>
      <c r="G25" s="21">
        <f>ROUNDUP(J25*1.4, -5)</f>
        <v/>
      </c>
      <c r="H25" s="22">
        <f>ROUNDUP(J25*1.7, -5)</f>
        <v/>
      </c>
      <c r="I25" s="23">
        <f>ROUNDUP(J25*2.5, -5)</f>
        <v/>
      </c>
      <c r="J25" s="35" t="n">
        <v>8980480</v>
      </c>
      <c r="K25" s="35" t="n">
        <v>10658000</v>
      </c>
      <c r="L25" s="35" t="n"/>
      <c r="M25" s="46" t="n"/>
      <c r="S25" s="44" t="inlineStr">
        <is>
          <t>Không có trong catalogue đã duyệt – giữ nguyên thông số cũ</t>
        </is>
      </c>
    </row>
    <row r="26" ht="18" customHeight="1" s="1">
      <c r="A26" s="8" t="n">
        <v>25</v>
      </c>
      <c r="B26" s="8" t="inlineStr">
        <is>
          <t>IRG50-200/5.5</t>
        </is>
      </c>
      <c r="C26" s="8" t="n">
        <v>5.5</v>
      </c>
      <c r="D26" s="8" t="n">
        <v>50</v>
      </c>
      <c r="E26" s="43" t="n">
        <v>21.8</v>
      </c>
      <c r="F26" s="43" t="n">
        <v>38</v>
      </c>
      <c r="G26" s="21">
        <f>ROUNDUP(J26*1.4, -5)</f>
        <v/>
      </c>
      <c r="H26" s="22">
        <f>ROUNDUP(J26*1.7, -5)</f>
        <v/>
      </c>
      <c r="I26" s="23">
        <f>ROUNDUP(J26*2.5, -5)</f>
        <v/>
      </c>
      <c r="J26" s="35" t="n">
        <v>8980480</v>
      </c>
      <c r="K26" s="35" t="n">
        <v>10658000</v>
      </c>
      <c r="L26" s="33" t="n"/>
      <c r="M26" s="46" t="n"/>
      <c r="O26" s="8" t="inlineStr">
        <is>
          <t>Có</t>
        </is>
      </c>
      <c r="P26" s="8" t="inlineStr">
        <is>
          <t>Có</t>
        </is>
      </c>
      <c r="Q26" s="8" t="inlineStr">
        <is>
          <t>Có</t>
        </is>
      </c>
      <c r="R26" s="8" t="inlineStr">
        <is>
          <t>PEROTAC - Bơm trục đứng IRG.pdf, tr.2 (hãng khác: REDPUMP, AQUARIS)</t>
        </is>
      </c>
    </row>
    <row r="27" ht="18" customHeight="1" s="1">
      <c r="A27" s="14" t="n">
        <v>26</v>
      </c>
      <c r="B27" s="14" t="inlineStr">
        <is>
          <t>IRG65-125/5.5</t>
        </is>
      </c>
      <c r="C27" s="14" t="n">
        <v>5.5</v>
      </c>
      <c r="D27" s="14" t="n">
        <v>65</v>
      </c>
      <c r="E27" s="14" t="n">
        <v>50</v>
      </c>
      <c r="F27" s="14" t="n">
        <v>20</v>
      </c>
      <c r="G27" s="21">
        <f>ROUNDUP(J27*1.4, -5)</f>
        <v/>
      </c>
      <c r="H27" s="22">
        <f>ROUNDUP(J27*1.7, -5)</f>
        <v/>
      </c>
      <c r="I27" s="23">
        <f>ROUNDUP(J27*2.5, -5)</f>
        <v/>
      </c>
      <c r="J27" s="35" t="n">
        <v>8980480</v>
      </c>
      <c r="K27" s="35" t="n">
        <v>10658000</v>
      </c>
      <c r="L27" s="35" t="n"/>
      <c r="M27" s="46" t="n"/>
      <c r="O27" s="14" t="inlineStr">
        <is>
          <t>Có</t>
        </is>
      </c>
      <c r="P27" s="14" t="inlineStr">
        <is>
          <t>Có</t>
        </is>
      </c>
      <c r="Q27" s="14" t="inlineStr">
        <is>
          <t>Có</t>
        </is>
      </c>
      <c r="R27" s="14" t="inlineStr">
        <is>
          <t>PEROTAC - Bơm trục đứng IRG.pdf, tr.2 (hãng khác: REDPUMP, AQUARIS)</t>
        </is>
      </c>
    </row>
    <row r="28" ht="18" customHeight="1" s="1">
      <c r="A28" s="8" t="n">
        <v>27</v>
      </c>
      <c r="B28" s="8" t="inlineStr">
        <is>
          <t>IRG80-100/5.5</t>
        </is>
      </c>
      <c r="C28" s="8" t="n">
        <v>5.5</v>
      </c>
      <c r="D28" s="8" t="n">
        <v>80</v>
      </c>
      <c r="E28" s="8" t="n">
        <v>100</v>
      </c>
      <c r="F28" s="43" t="n">
        <v>12.5</v>
      </c>
      <c r="G28" s="21">
        <f>ROUNDUP(J28*1.4, -5)</f>
        <v/>
      </c>
      <c r="H28" s="22">
        <f>ROUNDUP(J28*1.7, -5)</f>
        <v/>
      </c>
      <c r="I28" s="23">
        <f>ROUNDUP(J28*2.5, -5)</f>
        <v/>
      </c>
      <c r="J28" s="35" t="n">
        <v>8980480</v>
      </c>
      <c r="K28" s="35" t="n">
        <v>10658000</v>
      </c>
      <c r="L28" s="34">
        <f>7900000/1.08</f>
        <v/>
      </c>
      <c r="M28" s="46" t="n"/>
      <c r="O28" s="8" t="inlineStr">
        <is>
          <t>Có</t>
        </is>
      </c>
      <c r="P28" s="8" t="inlineStr">
        <is>
          <t>Có</t>
        </is>
      </c>
      <c r="Q28" s="8" t="inlineStr">
        <is>
          <t>Có</t>
        </is>
      </c>
      <c r="R28" s="8" t="inlineStr">
        <is>
          <t>PEROTAC - Bơm trục đứng IRG.pdf, tr.2 (hãng khác: REDPUMP, AQUARIS)</t>
        </is>
      </c>
    </row>
    <row r="29" ht="18" customHeight="1" s="1">
      <c r="A29" s="14" t="n">
        <v>28</v>
      </c>
      <c r="B29" s="14" t="inlineStr">
        <is>
          <t>IRG100-100/5.5</t>
        </is>
      </c>
      <c r="C29" s="14" t="n">
        <v>5.5</v>
      </c>
      <c r="D29" s="14" t="n">
        <v>100</v>
      </c>
      <c r="E29" s="14" t="n">
        <v>100</v>
      </c>
      <c r="F29" s="14" t="inlineStr">
        <is>
          <t>12,5</t>
        </is>
      </c>
      <c r="G29" s="21">
        <f>ROUNDUP(J29*1.4, -5)</f>
        <v/>
      </c>
      <c r="H29" s="22">
        <f>ROUNDUP(J29*1.7, -5)</f>
        <v/>
      </c>
      <c r="I29" s="23">
        <f>ROUNDUP(J29*2.5, -5)</f>
        <v/>
      </c>
      <c r="J29" s="35" t="n">
        <v>9465600</v>
      </c>
      <c r="K29" s="35" t="n">
        <v>10658000</v>
      </c>
      <c r="L29" s="35" t="n"/>
      <c r="M29" s="46" t="n"/>
      <c r="S29" s="44" t="inlineStr">
        <is>
          <t>Không có trong catalogue đã duyệt – giữ nguyên thông số cũ</t>
        </is>
      </c>
    </row>
    <row r="30" ht="18" customHeight="1" s="1">
      <c r="A30" s="8" t="n">
        <v>29</v>
      </c>
      <c r="B30" s="8" t="inlineStr">
        <is>
          <t>IRG50-200/7.5</t>
        </is>
      </c>
      <c r="C30" s="8" t="n">
        <v>7.5</v>
      </c>
      <c r="D30" s="8" t="n">
        <v>50</v>
      </c>
      <c r="E30" s="8" t="n">
        <v>25</v>
      </c>
      <c r="F30" s="8" t="n">
        <v>50</v>
      </c>
      <c r="G30" s="21">
        <f>ROUNDUP(J30*1.4, -5)</f>
        <v/>
      </c>
      <c r="H30" s="22">
        <f>ROUNDUP(J30*1.7, -5)</f>
        <v/>
      </c>
      <c r="I30" s="23">
        <f>ROUNDUP(J30*2.5, -5)</f>
        <v/>
      </c>
      <c r="J30" s="33" t="n">
        <v>9680000</v>
      </c>
      <c r="K30" s="33" t="n">
        <v>11250000</v>
      </c>
      <c r="L30" s="33" t="n"/>
      <c r="M30" s="46" t="n"/>
      <c r="O30" s="8" t="inlineStr">
        <is>
          <t>Có</t>
        </is>
      </c>
      <c r="P30" s="8" t="inlineStr">
        <is>
          <t>Có</t>
        </is>
      </c>
      <c r="Q30" s="8" t="inlineStr">
        <is>
          <t>Có</t>
        </is>
      </c>
      <c r="R30" s="8" t="inlineStr">
        <is>
          <t>PEROTAC - Bơm trục đứng IRG.pdf, tr.2 (hãng khác: REDPUMP, AQUARIS)</t>
        </is>
      </c>
    </row>
    <row r="31" ht="18" customHeight="1" s="1">
      <c r="A31" s="14" t="n">
        <v>30</v>
      </c>
      <c r="B31" s="14" t="inlineStr">
        <is>
          <t>IRG65-160/7.5</t>
        </is>
      </c>
      <c r="C31" s="14" t="n">
        <v>7.5</v>
      </c>
      <c r="D31" s="14" t="n">
        <v>65</v>
      </c>
      <c r="E31" s="14" t="n">
        <v>50</v>
      </c>
      <c r="F31" s="14" t="n">
        <v>32</v>
      </c>
      <c r="G31" s="21">
        <f>ROUNDUP(J31*1.4, -5)</f>
        <v/>
      </c>
      <c r="H31" s="22">
        <f>ROUNDUP(J31*1.7, -5)</f>
        <v/>
      </c>
      <c r="I31" s="23">
        <f>ROUNDUP(J31*2.5, -5)</f>
        <v/>
      </c>
      <c r="J31" s="33" t="n">
        <v>9680000</v>
      </c>
      <c r="K31" s="33" t="n">
        <v>11250000</v>
      </c>
      <c r="L31" s="35" t="n"/>
      <c r="M31" s="46" t="n"/>
      <c r="O31" s="14" t="inlineStr">
        <is>
          <t>Có</t>
        </is>
      </c>
      <c r="P31" s="14" t="inlineStr">
        <is>
          <t>Có</t>
        </is>
      </c>
      <c r="Q31" s="14" t="inlineStr">
        <is>
          <t>Có</t>
        </is>
      </c>
      <c r="R31" s="14" t="inlineStr">
        <is>
          <t>PEROTAC - Bơm trục đứng IRG.pdf, tr.2 (hãng khác: REDPUMP, AQUARIS)</t>
        </is>
      </c>
    </row>
    <row r="32" ht="18" customHeight="1" s="1">
      <c r="A32" s="8" t="n">
        <v>31</v>
      </c>
      <c r="B32" s="8" t="inlineStr">
        <is>
          <t>IRG80-125/7.5</t>
        </is>
      </c>
      <c r="C32" s="8" t="n">
        <v>7.5</v>
      </c>
      <c r="D32" s="8" t="n">
        <v>80</v>
      </c>
      <c r="E32" s="43" t="n">
        <v>89</v>
      </c>
      <c r="F32" s="8" t="n">
        <v>16</v>
      </c>
      <c r="G32" s="21">
        <f>ROUNDUP(J32*1.4, -5)</f>
        <v/>
      </c>
      <c r="H32" s="22">
        <f>ROUNDUP(J32*1.7, -5)</f>
        <v/>
      </c>
      <c r="I32" s="23">
        <f>ROUNDUP(J32*2.5, -5)</f>
        <v/>
      </c>
      <c r="J32" s="33" t="n">
        <v>9680000</v>
      </c>
      <c r="K32" s="33" t="n">
        <v>11250000</v>
      </c>
      <c r="L32" s="34">
        <f>8900000/1.08</f>
        <v/>
      </c>
      <c r="M32" s="46" t="n"/>
      <c r="O32" s="8" t="inlineStr">
        <is>
          <t>Có</t>
        </is>
      </c>
      <c r="P32" s="8" t="inlineStr">
        <is>
          <t>Có</t>
        </is>
      </c>
      <c r="Q32" s="8" t="inlineStr">
        <is>
          <t>Có</t>
        </is>
      </c>
      <c r="R32" s="8" t="inlineStr">
        <is>
          <t>PEROTAC - Bơm trục đứng IRG.pdf, tr.2 (hãng khác: REDPUMP, AQUARIS)</t>
        </is>
      </c>
    </row>
    <row r="33" ht="18" customHeight="1" s="1">
      <c r="A33" s="14" t="n">
        <v>32</v>
      </c>
      <c r="B33" s="14" t="inlineStr">
        <is>
          <t>IRG100-125/7.5</t>
        </is>
      </c>
      <c r="C33" s="14" t="n">
        <v>7.5</v>
      </c>
      <c r="D33" s="14" t="n">
        <v>100</v>
      </c>
      <c r="E33" s="14" t="n">
        <v>100</v>
      </c>
      <c r="F33" s="14" t="n">
        <v>14</v>
      </c>
      <c r="G33" s="21">
        <f>ROUNDUP(J33*1.4, -5)</f>
        <v/>
      </c>
      <c r="H33" s="22">
        <f>ROUNDUP(J33*1.7, -5)</f>
        <v/>
      </c>
      <c r="I33" s="23">
        <f>ROUNDUP(J33*2.5, -5)</f>
        <v/>
      </c>
      <c r="J33" s="35" t="n">
        <v>9811200</v>
      </c>
      <c r="K33" s="35" t="n">
        <v>11350000</v>
      </c>
      <c r="L33" s="35" t="n"/>
      <c r="M33" s="46" t="n"/>
      <c r="S33" s="44" t="inlineStr">
        <is>
          <t>Không có trong catalogue đã duyệt – giữ nguyên thông số cũ</t>
        </is>
      </c>
    </row>
    <row r="34" ht="18" customHeight="1" s="1">
      <c r="A34" s="8" t="n">
        <v>33</v>
      </c>
      <c r="B34" s="8" t="inlineStr">
        <is>
          <t>IRG125-100/7.5</t>
        </is>
      </c>
      <c r="C34" s="8" t="n">
        <v>7.5</v>
      </c>
      <c r="D34" s="8" t="n">
        <v>125</v>
      </c>
      <c r="E34" s="8" t="n">
        <v>143</v>
      </c>
      <c r="F34" s="8" t="n">
        <v>10</v>
      </c>
      <c r="G34" s="21">
        <f>ROUNDUP(J34*1.4, -5)</f>
        <v/>
      </c>
      <c r="H34" s="22">
        <f>ROUNDUP(J34*1.7, -5)</f>
        <v/>
      </c>
      <c r="I34" s="23">
        <f>ROUNDUP(J34*2.5, -5)</f>
        <v/>
      </c>
      <c r="J34" s="33" t="n">
        <v>13798400</v>
      </c>
      <c r="K34" s="33" t="n"/>
      <c r="L34" s="33" t="n"/>
      <c r="M34" s="46" t="n"/>
      <c r="O34" s="8" t="inlineStr">
        <is>
          <t>Có</t>
        </is>
      </c>
      <c r="P34" s="8" t="inlineStr">
        <is>
          <t>Có</t>
        </is>
      </c>
      <c r="Q34" s="8" t="inlineStr">
        <is>
          <t>Có</t>
        </is>
      </c>
      <c r="R34" s="8" t="inlineStr">
        <is>
          <t>PEROTAC - Bơm trục đứng IRG.pdf, tr.2 (hãng khác: REDPUMP, AQUARIS)</t>
        </is>
      </c>
    </row>
    <row r="35" ht="18" customHeight="1" s="1">
      <c r="A35" s="14" t="n">
        <v>34</v>
      </c>
      <c r="B35" s="14" t="inlineStr">
        <is>
          <t>IRG65-250/11</t>
        </is>
      </c>
      <c r="C35" s="14" t="n">
        <v>11</v>
      </c>
      <c r="D35" s="14" t="n">
        <v>150</v>
      </c>
      <c r="E35" s="14" t="inlineStr">
        <is>
          <t>23,4</t>
        </is>
      </c>
      <c r="F35" s="14" t="n">
        <v>70</v>
      </c>
      <c r="G35" s="21">
        <f>ROUNDUP(J35*1.4, -5)</f>
        <v/>
      </c>
      <c r="H35" s="22">
        <f>ROUNDUP(J35*1.7, -5)</f>
        <v/>
      </c>
      <c r="I35" s="23">
        <f>ROUNDUP(J35*2.5, -5)</f>
        <v/>
      </c>
      <c r="J35" s="35" t="n">
        <v>14080000</v>
      </c>
      <c r="K35" s="35" t="n">
        <v>16800000</v>
      </c>
      <c r="L35" s="35" t="n"/>
      <c r="M35" s="46" t="n"/>
      <c r="S35" s="44" t="inlineStr">
        <is>
          <t>Không có trong catalogue đã duyệt – giữ nguyên thông số cũ</t>
        </is>
      </c>
    </row>
    <row r="36" ht="18" customHeight="1" s="1">
      <c r="A36" s="8" t="n">
        <v>35</v>
      </c>
      <c r="B36" s="8" t="inlineStr">
        <is>
          <t>IRG80-200/11</t>
        </is>
      </c>
      <c r="C36" s="8" t="n">
        <v>11</v>
      </c>
      <c r="D36" s="8" t="n">
        <v>80</v>
      </c>
      <c r="E36" s="8" t="n">
        <v>47</v>
      </c>
      <c r="F36" s="8" t="n">
        <v>44</v>
      </c>
      <c r="G36" s="21">
        <f>ROUNDUP(J36*1.4, -5)</f>
        <v/>
      </c>
      <c r="H36" s="22">
        <f>ROUNDUP(J36*1.7, -5)</f>
        <v/>
      </c>
      <c r="I36" s="23">
        <f>ROUNDUP(J36*2.5, -5)</f>
        <v/>
      </c>
      <c r="J36" s="35" t="n">
        <v>14080000</v>
      </c>
      <c r="K36" s="35" t="n">
        <v>16800000</v>
      </c>
      <c r="L36" s="33" t="n"/>
      <c r="M36" s="46" t="n"/>
      <c r="S36" s="44" t="inlineStr">
        <is>
          <t>Không có trong catalogue đã duyệt – giữ nguyên thông số cũ</t>
        </is>
      </c>
    </row>
    <row r="37" ht="18" customHeight="1" s="1">
      <c r="A37" s="14" t="n">
        <v>36</v>
      </c>
      <c r="B37" s="14" t="inlineStr">
        <is>
          <t>IRG80-160/11</t>
        </is>
      </c>
      <c r="C37" s="14" t="n">
        <v>11</v>
      </c>
      <c r="D37" s="14" t="n">
        <v>80</v>
      </c>
      <c r="E37" s="14" t="inlineStr">
        <is>
          <t>93,5</t>
        </is>
      </c>
      <c r="F37" s="14" t="n">
        <v>28</v>
      </c>
      <c r="G37" s="21">
        <f>ROUNDUP(J37*1.4, -5)</f>
        <v/>
      </c>
      <c r="H37" s="22">
        <f>ROUNDUP(J37*1.7, -5)</f>
        <v/>
      </c>
      <c r="I37" s="23">
        <f>ROUNDUP(J37*2.5, -5)</f>
        <v/>
      </c>
      <c r="J37" s="35" t="n">
        <v>14080000</v>
      </c>
      <c r="K37" s="35" t="n">
        <v>16800000</v>
      </c>
      <c r="L37" s="34">
        <f>14900000/1.08</f>
        <v/>
      </c>
      <c r="M37" s="46" t="n"/>
      <c r="O37" s="14" t="inlineStr">
        <is>
          <t>Có</t>
        </is>
      </c>
      <c r="P37" s="14" t="inlineStr">
        <is>
          <t>Có</t>
        </is>
      </c>
      <c r="Q37" s="14" t="inlineStr">
        <is>
          <t>Có</t>
        </is>
      </c>
      <c r="R37" s="14" t="inlineStr">
        <is>
          <t>PEROTAC - Bơm trục đứng IRG.pdf, tr.2 (hãng khác: REDPUMP, AQUARIS)</t>
        </is>
      </c>
    </row>
    <row r="38" ht="18" customHeight="1" s="1">
      <c r="A38" s="8" t="n">
        <v>37</v>
      </c>
      <c r="B38" s="8" t="inlineStr">
        <is>
          <t>IRG100-160/11</t>
        </is>
      </c>
      <c r="C38" s="8" t="n">
        <v>11</v>
      </c>
      <c r="D38" s="8" t="n">
        <v>100</v>
      </c>
      <c r="E38" s="8" t="n">
        <v>105</v>
      </c>
      <c r="F38" s="8" t="n">
        <v>30</v>
      </c>
      <c r="G38" s="21">
        <f>ROUNDUP(J38*1.4, -5)</f>
        <v/>
      </c>
      <c r="H38" s="22">
        <f>ROUNDUP(J38*1.7, -5)</f>
        <v/>
      </c>
      <c r="I38" s="23">
        <f>ROUNDUP(J38*2.5, -5)</f>
        <v/>
      </c>
      <c r="J38" s="33" t="n">
        <v>14304000</v>
      </c>
      <c r="K38" s="35" t="n">
        <v>16800000</v>
      </c>
      <c r="L38" s="33" t="n"/>
      <c r="M38" s="46" t="n"/>
      <c r="S38" s="44" t="inlineStr">
        <is>
          <t>Không có trong catalogue đã duyệt – giữ nguyên thông số cũ</t>
        </is>
      </c>
    </row>
    <row r="39" ht="18" customHeight="1" s="1">
      <c r="A39" s="14" t="n">
        <v>38</v>
      </c>
      <c r="B39" s="14" t="inlineStr">
        <is>
          <t>IRG125-125/11</t>
        </is>
      </c>
      <c r="C39" s="14" t="n">
        <v>11</v>
      </c>
      <c r="D39" s="14" t="n">
        <v>125</v>
      </c>
      <c r="E39" s="14" t="n">
        <v>143</v>
      </c>
      <c r="F39" s="43" t="n">
        <v>16</v>
      </c>
      <c r="G39" s="21">
        <f>ROUNDUP(J39*1.4, -5)</f>
        <v/>
      </c>
      <c r="H39" s="22">
        <f>ROUNDUP(J39*1.7, -5)</f>
        <v/>
      </c>
      <c r="I39" s="23">
        <f>ROUNDUP(J39*2.5, -5)</f>
        <v/>
      </c>
      <c r="J39" s="35">
        <f>J38*1.4</f>
        <v/>
      </c>
      <c r="K39" s="35" t="n"/>
      <c r="L39" s="35" t="n"/>
      <c r="M39" s="46" t="n"/>
      <c r="N39" s="29" t="inlineStr">
        <is>
          <t>Giá dự kiến</t>
        </is>
      </c>
      <c r="O39" s="14" t="inlineStr">
        <is>
          <t>Có</t>
        </is>
      </c>
      <c r="P39" s="14" t="inlineStr">
        <is>
          <t>Có</t>
        </is>
      </c>
      <c r="Q39" s="14" t="inlineStr">
        <is>
          <t>Có</t>
        </is>
      </c>
      <c r="R39" s="14" t="inlineStr">
        <is>
          <t>PEROTAC - Bơm trục đứng IRG.pdf, tr.2 (hãng khác: REDPUMP, AQUARIS)</t>
        </is>
      </c>
    </row>
    <row r="40" ht="18" customHeight="1" s="1">
      <c r="A40" s="8" t="n">
        <v>39</v>
      </c>
      <c r="B40" s="8" t="inlineStr">
        <is>
          <t>IRG150-125/11</t>
        </is>
      </c>
      <c r="C40" s="8" t="n">
        <v>11</v>
      </c>
      <c r="D40" s="8" t="n">
        <v>150</v>
      </c>
      <c r="E40" s="8" t="n">
        <v>150</v>
      </c>
      <c r="F40" s="8" t="n">
        <v>16</v>
      </c>
      <c r="G40" s="21">
        <f>ROUNDUP(J40*1.4, -5)</f>
        <v/>
      </c>
      <c r="H40" s="22">
        <f>ROUNDUP(J40*1.7, -5)</f>
        <v/>
      </c>
      <c r="I40" s="23">
        <f>ROUNDUP(J40*2.5, -5)</f>
        <v/>
      </c>
      <c r="J40" s="35" t="n">
        <v>20025600</v>
      </c>
      <c r="K40" s="33" t="n"/>
      <c r="L40" s="33" t="n"/>
      <c r="M40" s="46" t="n"/>
      <c r="N40" s="29" t="inlineStr">
        <is>
          <t>Giá dự kiến</t>
        </is>
      </c>
      <c r="S40" s="44" t="inlineStr">
        <is>
          <t>Không có trong catalogue đã duyệt – giữ nguyên thông số cũ</t>
        </is>
      </c>
    </row>
    <row r="41" ht="18" customHeight="1" s="1">
      <c r="A41" s="14" t="n">
        <v>40</v>
      </c>
      <c r="B41" s="14" t="inlineStr">
        <is>
          <t>IRG200-250/15</t>
        </is>
      </c>
      <c r="C41" s="14" t="n">
        <v>15</v>
      </c>
      <c r="D41" s="14" t="n">
        <v>200</v>
      </c>
      <c r="E41" s="14" t="n">
        <v>218</v>
      </c>
      <c r="F41" s="14" t="n">
        <v>16</v>
      </c>
      <c r="G41" s="21">
        <f>ROUNDUP(J41*1.4, -5)</f>
        <v/>
      </c>
      <c r="H41" s="22">
        <f>ROUNDUP(J41*1.7, -5)</f>
        <v/>
      </c>
      <c r="I41" s="23">
        <f>ROUNDUP(J41*2.5, -5)</f>
        <v/>
      </c>
      <c r="J41" s="35" t="n">
        <v>20025600</v>
      </c>
      <c r="K41" s="35" t="n"/>
      <c r="L41" s="35" t="n"/>
      <c r="M41" s="46" t="n"/>
      <c r="N41" s="29" t="inlineStr">
        <is>
          <t>Giá dự kiến</t>
        </is>
      </c>
      <c r="S41" s="44" t="inlineStr">
        <is>
          <t>Không có trong catalogue đã duyệt – giữ nguyên thông số cũ</t>
        </is>
      </c>
    </row>
    <row r="42" ht="18" customHeight="1" s="1">
      <c r="A42" s="8" t="n">
        <v>41</v>
      </c>
      <c r="B42" s="8" t="inlineStr">
        <is>
          <t>IRG65-250/15</t>
        </is>
      </c>
      <c r="C42" s="8" t="n">
        <v>15</v>
      </c>
      <c r="D42" s="8" t="n">
        <v>65</v>
      </c>
      <c r="E42" s="43" t="n">
        <v>43.3</v>
      </c>
      <c r="F42" s="43" t="n">
        <v>60</v>
      </c>
      <c r="G42" s="21">
        <f>ROUNDUP(J42*1.4, -5)</f>
        <v/>
      </c>
      <c r="H42" s="22">
        <f>ROUNDUP(J42*1.7, -5)</f>
        <v/>
      </c>
      <c r="I42" s="23">
        <f>ROUNDUP(J42*2.5, -5)</f>
        <v/>
      </c>
      <c r="J42" s="33" t="n">
        <v>15238400</v>
      </c>
      <c r="K42" s="33" t="n">
        <v>18180000</v>
      </c>
      <c r="L42" s="33" t="n"/>
      <c r="M42" s="46" t="n"/>
      <c r="O42" s="8" t="inlineStr">
        <is>
          <t>Có</t>
        </is>
      </c>
      <c r="P42" s="8" t="inlineStr">
        <is>
          <t>Có</t>
        </is>
      </c>
      <c r="Q42" s="8" t="inlineStr">
        <is>
          <t>Có</t>
        </is>
      </c>
      <c r="R42" s="8" t="inlineStr">
        <is>
          <t>PEROTAC - Bơm trục đứng IRG.pdf, tr.2 (hãng khác: REDPUMP, AQUARIS)</t>
        </is>
      </c>
    </row>
    <row r="43" ht="18" customHeight="1" s="1">
      <c r="A43" s="14" t="n">
        <v>42</v>
      </c>
      <c r="B43" s="14" t="inlineStr">
        <is>
          <t>IRG80-160/15</t>
        </is>
      </c>
      <c r="C43" s="14" t="n">
        <v>15</v>
      </c>
      <c r="D43" s="14" t="n">
        <v>80</v>
      </c>
      <c r="E43" s="14" t="n">
        <v>100</v>
      </c>
      <c r="F43" s="14" t="n">
        <v>32</v>
      </c>
      <c r="G43" s="21">
        <f>ROUNDUP(J43*1.4, -5)</f>
        <v/>
      </c>
      <c r="H43" s="22">
        <f>ROUNDUP(J43*1.7, -5)</f>
        <v/>
      </c>
      <c r="I43" s="23">
        <f>ROUNDUP(J43*2.5, -5)</f>
        <v/>
      </c>
      <c r="J43" s="33" t="n">
        <v>15238400</v>
      </c>
      <c r="K43" s="33" t="n">
        <v>18180000</v>
      </c>
      <c r="L43" s="35" t="n"/>
      <c r="M43" s="46" t="n"/>
      <c r="O43" s="14" t="inlineStr">
        <is>
          <t>Có</t>
        </is>
      </c>
      <c r="P43" s="14" t="inlineStr">
        <is>
          <t>Có</t>
        </is>
      </c>
      <c r="Q43" s="14" t="inlineStr">
        <is>
          <t>Có</t>
        </is>
      </c>
      <c r="R43" s="14" t="inlineStr">
        <is>
          <t>PEROTAC - Bơm trục đứng IRG.pdf, tr.2 (hãng khác: REDPUMP, AQUARIS)</t>
        </is>
      </c>
    </row>
    <row r="44" ht="18" customHeight="1" s="1">
      <c r="A44" s="8" t="n">
        <v>43</v>
      </c>
      <c r="B44" s="8" t="inlineStr">
        <is>
          <t>IRG100-125/15</t>
        </is>
      </c>
      <c r="C44" s="8" t="n">
        <v>15</v>
      </c>
      <c r="D44" s="8" t="n">
        <v>100</v>
      </c>
      <c r="E44" s="8" t="n">
        <v>160</v>
      </c>
      <c r="F44" s="8" t="n">
        <v>20</v>
      </c>
      <c r="G44" s="21">
        <f>ROUNDUP(J44*1.4, -5)</f>
        <v/>
      </c>
      <c r="H44" s="22">
        <f>ROUNDUP(J44*1.7, -5)</f>
        <v/>
      </c>
      <c r="I44" s="23">
        <f>ROUNDUP(J44*2.5, -5)</f>
        <v/>
      </c>
      <c r="J44" s="33" t="n">
        <v>15238400</v>
      </c>
      <c r="K44" s="33" t="n">
        <v>18180000</v>
      </c>
      <c r="L44" s="34">
        <f>15900000/1.08</f>
        <v/>
      </c>
      <c r="M44" s="46" t="n"/>
      <c r="O44" s="8" t="inlineStr">
        <is>
          <t>Có</t>
        </is>
      </c>
      <c r="P44" s="8" t="inlineStr">
        <is>
          <t>Có</t>
        </is>
      </c>
      <c r="Q44" s="8" t="inlineStr">
        <is>
          <t>Có</t>
        </is>
      </c>
      <c r="R44" s="8" t="inlineStr">
        <is>
          <t>PEROTAC - Bơm trục đứng IRG.pdf, tr.2 (hãng khác: REDPUMP, AQUARIS)</t>
        </is>
      </c>
    </row>
    <row r="45" ht="18" customHeight="1" s="1">
      <c r="A45" s="14" t="n">
        <v>44</v>
      </c>
      <c r="B45" s="14" t="inlineStr">
        <is>
          <t>IRG125-160/15</t>
        </is>
      </c>
      <c r="C45" s="14" t="n">
        <v>15</v>
      </c>
      <c r="D45" s="14" t="n">
        <v>125</v>
      </c>
      <c r="E45" s="14" t="n">
        <v>138</v>
      </c>
      <c r="F45" s="43" t="n">
        <v>24</v>
      </c>
      <c r="G45" s="21">
        <f>ROUNDUP(J45*1.4, -5)</f>
        <v/>
      </c>
      <c r="H45" s="22">
        <f>ROUNDUP(J45*1.7, -5)</f>
        <v/>
      </c>
      <c r="I45" s="23">
        <f>ROUNDUP(J45*2.5, -5)</f>
        <v/>
      </c>
      <c r="J45" s="33" t="n">
        <v>15238400</v>
      </c>
      <c r="K45" s="33" t="n">
        <v>18180000</v>
      </c>
      <c r="L45" s="35" t="n"/>
      <c r="M45" s="46" t="n"/>
      <c r="O45" s="14" t="inlineStr">
        <is>
          <t>Có</t>
        </is>
      </c>
      <c r="P45" s="14" t="inlineStr">
        <is>
          <t>Có</t>
        </is>
      </c>
      <c r="Q45" s="14" t="inlineStr">
        <is>
          <t>Có</t>
        </is>
      </c>
      <c r="R45" s="14" t="inlineStr">
        <is>
          <t>PEROTAC - Bơm trục đứng IRG.pdf, tr.2 (hãng khác: REDPUMP, AQUARIS)</t>
        </is>
      </c>
    </row>
    <row r="46" ht="18" customHeight="1" s="1">
      <c r="A46" s="8" t="n">
        <v>45</v>
      </c>
      <c r="B46" s="8" t="inlineStr">
        <is>
          <t>IRG150-125/15</t>
        </is>
      </c>
      <c r="C46" s="8" t="n">
        <v>15</v>
      </c>
      <c r="D46" s="8" t="n">
        <v>150</v>
      </c>
      <c r="E46" s="8" t="n">
        <v>158</v>
      </c>
      <c r="F46" s="8" t="n">
        <v>31</v>
      </c>
      <c r="G46" s="21">
        <f>ROUNDUP(J46*1.4, -5)</f>
        <v/>
      </c>
      <c r="H46" s="22">
        <f>ROUNDUP(J46*1.7, -5)</f>
        <v/>
      </c>
      <c r="I46" s="23">
        <f>ROUNDUP(J46*2.5, -5)</f>
        <v/>
      </c>
      <c r="J46" s="33" t="n">
        <v>15238400</v>
      </c>
      <c r="K46" s="33" t="n">
        <v>18180000</v>
      </c>
      <c r="L46" s="33" t="n"/>
      <c r="M46" s="46" t="n"/>
      <c r="S46" s="44" t="inlineStr">
        <is>
          <t>Không có trong catalogue đã duyệt – giữ nguyên thông số cũ</t>
        </is>
      </c>
    </row>
    <row r="47" ht="18" customHeight="1" s="1">
      <c r="A47" s="14" t="n">
        <v>46</v>
      </c>
      <c r="B47" s="14" t="inlineStr">
        <is>
          <t>IRG80-200/18.5</t>
        </is>
      </c>
      <c r="C47" s="14" t="n">
        <v>18.5</v>
      </c>
      <c r="D47" s="14" t="n">
        <v>80</v>
      </c>
      <c r="E47" s="14" t="inlineStr">
        <is>
          <t>93,5</t>
        </is>
      </c>
      <c r="F47" s="14" t="n">
        <v>44</v>
      </c>
      <c r="G47" s="21">
        <f>ROUNDUP(J47*1.4, -5)</f>
        <v/>
      </c>
      <c r="H47" s="22">
        <f>ROUNDUP(J47*1.7, -5)</f>
        <v/>
      </c>
      <c r="I47" s="23">
        <f>ROUNDUP(J47*2.5, -5)</f>
        <v/>
      </c>
      <c r="J47" s="35" t="n">
        <v>17248000</v>
      </c>
      <c r="K47" s="35" t="n">
        <v>19980000</v>
      </c>
      <c r="L47" s="35" t="n"/>
      <c r="M47" s="46" t="n"/>
      <c r="O47" s="14" t="inlineStr">
        <is>
          <t>Có</t>
        </is>
      </c>
      <c r="P47" s="14" t="inlineStr">
        <is>
          <t>Có</t>
        </is>
      </c>
      <c r="Q47" s="14" t="inlineStr">
        <is>
          <t>Có</t>
        </is>
      </c>
      <c r="R47" s="14" t="inlineStr">
        <is>
          <t>PEROTAC - Bơm trục đứng IRG.pdf, tr.2 (hãng khác: REDPUMP, AQUARIS)</t>
        </is>
      </c>
    </row>
    <row r="48" ht="18" customHeight="1" s="1">
      <c r="A48" s="8" t="n">
        <v>47</v>
      </c>
      <c r="B48" s="8" t="inlineStr">
        <is>
          <t>IRG100-160/18.5</t>
        </is>
      </c>
      <c r="C48" s="8" t="n">
        <v>18.5</v>
      </c>
      <c r="D48" s="8" t="n">
        <v>100</v>
      </c>
      <c r="E48" s="43" t="n">
        <v>140</v>
      </c>
      <c r="F48" s="8" t="n">
        <v>28</v>
      </c>
      <c r="G48" s="21">
        <f>ROUNDUP(J48*1.4, -5)</f>
        <v/>
      </c>
      <c r="H48" s="22">
        <f>ROUNDUP(J48*1.7, -5)</f>
        <v/>
      </c>
      <c r="I48" s="23">
        <f>ROUNDUP(J48*2.5, -5)</f>
        <v/>
      </c>
      <c r="J48" s="35" t="n">
        <v>17248000</v>
      </c>
      <c r="K48" s="35" t="n">
        <v>19980000</v>
      </c>
      <c r="L48" s="33" t="n"/>
      <c r="M48" s="46" t="n"/>
      <c r="O48" s="8" t="inlineStr">
        <is>
          <t>Có</t>
        </is>
      </c>
      <c r="P48" s="8" t="inlineStr">
        <is>
          <t>Có</t>
        </is>
      </c>
      <c r="Q48" s="8" t="inlineStr">
        <is>
          <t>Có</t>
        </is>
      </c>
      <c r="R48" s="8" t="inlineStr">
        <is>
          <t>PEROTAC - Bơm trục đứng IRG.pdf, tr.2 (hãng khác: REDPUMP, AQUARIS)</t>
        </is>
      </c>
    </row>
    <row r="49" ht="18" customHeight="1" s="1">
      <c r="A49" s="14" t="n">
        <v>48</v>
      </c>
      <c r="B49" s="14" t="inlineStr">
        <is>
          <t>IRG125-160/18.5</t>
        </is>
      </c>
      <c r="C49" s="14" t="n">
        <v>18.5</v>
      </c>
      <c r="D49" s="14" t="n">
        <v>125</v>
      </c>
      <c r="E49" s="14" t="n">
        <v>150</v>
      </c>
      <c r="F49" s="43" t="n">
        <v>28</v>
      </c>
      <c r="G49" s="21">
        <f>ROUNDUP(J49*1.4, -5)</f>
        <v/>
      </c>
      <c r="H49" s="22">
        <f>ROUNDUP(J49*1.7, -5)</f>
        <v/>
      </c>
      <c r="I49" s="23">
        <f>ROUNDUP(J49*2.5, -5)</f>
        <v/>
      </c>
      <c r="J49" s="35" t="n">
        <v>17248000</v>
      </c>
      <c r="K49" s="35" t="n">
        <v>19980000</v>
      </c>
      <c r="L49" s="35" t="n"/>
      <c r="M49" s="46" t="n"/>
      <c r="O49" s="14" t="inlineStr">
        <is>
          <t>Có</t>
        </is>
      </c>
      <c r="P49" s="14" t="inlineStr">
        <is>
          <t>Có</t>
        </is>
      </c>
      <c r="Q49" s="14" t="inlineStr">
        <is>
          <t>Có</t>
        </is>
      </c>
      <c r="R49" s="14" t="inlineStr">
        <is>
          <t>PEROTAC - Bơm trục đứng IRG.pdf, tr.2 (hãng khác: REDPUMP, AQUARIS)</t>
        </is>
      </c>
    </row>
    <row r="50" ht="18" customHeight="1" s="1">
      <c r="A50" s="8" t="n">
        <v>49</v>
      </c>
      <c r="B50" s="8" t="inlineStr">
        <is>
          <t>IRG150-160/18.5</t>
        </is>
      </c>
      <c r="C50" s="8" t="n">
        <v>18.5</v>
      </c>
      <c r="D50" s="8" t="n">
        <v>150</v>
      </c>
      <c r="E50" s="8" t="n">
        <v>193</v>
      </c>
      <c r="F50" s="8" t="n">
        <v>32</v>
      </c>
      <c r="G50" s="21">
        <f>ROUNDUP(J50*1.4, -5)</f>
        <v/>
      </c>
      <c r="H50" s="22">
        <f>ROUNDUP(J50*1.7, -5)</f>
        <v/>
      </c>
      <c r="I50" s="23">
        <f>ROUNDUP(J50*2.5, -5)</f>
        <v/>
      </c>
      <c r="J50" s="35" t="n">
        <v>17248000</v>
      </c>
      <c r="K50" s="35" t="n">
        <v>19980000</v>
      </c>
      <c r="L50" s="33" t="n"/>
      <c r="M50" s="46" t="n"/>
      <c r="S50" s="44" t="inlineStr">
        <is>
          <t>Không có trong catalogue đã duyệt – giữ nguyên thông số cũ</t>
        </is>
      </c>
    </row>
    <row r="51" ht="18" customHeight="1" s="1">
      <c r="A51" s="14" t="n">
        <v>50</v>
      </c>
      <c r="B51" s="14" t="inlineStr">
        <is>
          <t>IRG200-250/18.5</t>
        </is>
      </c>
      <c r="C51" s="14" t="n">
        <v>18.5</v>
      </c>
      <c r="D51" s="14" t="n">
        <v>200</v>
      </c>
      <c r="E51" s="14" t="n">
        <v>260</v>
      </c>
      <c r="F51" s="14" t="n">
        <v>22</v>
      </c>
      <c r="G51" s="21">
        <f>ROUNDUP(J51*1.4, -5)</f>
        <v/>
      </c>
      <c r="H51" s="22">
        <f>ROUNDUP(J51*1.7, -5)</f>
        <v/>
      </c>
      <c r="I51" s="23">
        <f>ROUNDUP(J51*2.5, -5)</f>
        <v/>
      </c>
      <c r="J51" s="35" t="n">
        <v>17248000</v>
      </c>
      <c r="K51" s="35" t="n">
        <v>19980000</v>
      </c>
      <c r="L51" s="35" t="n"/>
      <c r="M51" s="46" t="n"/>
      <c r="S51" s="44" t="inlineStr">
        <is>
          <t>Không có trong catalogue đã duyệt – giữ nguyên thông số cũ</t>
        </is>
      </c>
    </row>
    <row r="52" ht="18" customHeight="1" s="1">
      <c r="A52" s="8" t="n">
        <v>51</v>
      </c>
      <c r="B52" s="8" t="inlineStr">
        <is>
          <t>IRG80-200/22</t>
        </is>
      </c>
      <c r="C52" s="8" t="n">
        <v>22</v>
      </c>
      <c r="D52" s="8" t="n">
        <v>80</v>
      </c>
      <c r="E52" s="8" t="n">
        <v>100</v>
      </c>
      <c r="F52" s="8" t="n">
        <v>50</v>
      </c>
      <c r="G52" s="21">
        <f>ROUNDUP(K52*1.4, -5)</f>
        <v/>
      </c>
      <c r="H52" s="22">
        <f>ROUNDUP(K52*1.7, -5)</f>
        <v/>
      </c>
      <c r="I52" s="23">
        <f>ROUNDUP(K52*2.5, -5)</f>
        <v/>
      </c>
      <c r="J52" s="33" t="n"/>
      <c r="K52" s="33" t="n">
        <v>24180000</v>
      </c>
      <c r="L52" s="33" t="n"/>
      <c r="M52" s="46" t="n"/>
      <c r="O52" s="8" t="inlineStr">
        <is>
          <t>Có</t>
        </is>
      </c>
      <c r="P52" s="8" t="inlineStr">
        <is>
          <t>Có</t>
        </is>
      </c>
      <c r="Q52" s="8" t="inlineStr">
        <is>
          <t>Có</t>
        </is>
      </c>
      <c r="R52" s="8" t="inlineStr">
        <is>
          <t>PEROTAC - Bơm trục đứng IRG.pdf, tr.2 (hãng khác: REDPUMP, AQUARIS)</t>
        </is>
      </c>
    </row>
    <row r="53" ht="18" customHeight="1" s="1">
      <c r="A53" s="14" t="n">
        <v>52</v>
      </c>
      <c r="B53" s="14" t="inlineStr">
        <is>
          <t>IRG100-200/22</t>
        </is>
      </c>
      <c r="C53" s="14" t="n">
        <v>22</v>
      </c>
      <c r="D53" s="14" t="n">
        <v>100</v>
      </c>
      <c r="E53" s="43" t="n">
        <v>100</v>
      </c>
      <c r="F53" s="43" t="n">
        <v>40</v>
      </c>
      <c r="G53" s="21">
        <f>ROUNDUP(K53*1.4, -5)</f>
        <v/>
      </c>
      <c r="H53" s="22">
        <f>ROUNDUP(K53*1.7, -5)</f>
        <v/>
      </c>
      <c r="I53" s="23">
        <f>ROUNDUP(K53*2.5, -5)</f>
        <v/>
      </c>
      <c r="J53" s="35" t="n"/>
      <c r="K53" s="33" t="n">
        <v>24180000</v>
      </c>
      <c r="L53" s="35" t="n"/>
      <c r="M53" s="46" t="n"/>
      <c r="O53" s="14" t="inlineStr">
        <is>
          <t>Có</t>
        </is>
      </c>
      <c r="P53" s="14" t="inlineStr">
        <is>
          <t>Có</t>
        </is>
      </c>
      <c r="Q53" s="14" t="inlineStr">
        <is>
          <t>Có</t>
        </is>
      </c>
      <c r="R53" s="14" t="inlineStr">
        <is>
          <t>PEROTAC - Bơm trục đứng IRG.pdf, tr.2 (hãng khác: REDPUMP, AQUARIS)</t>
        </is>
      </c>
    </row>
    <row r="54" ht="18" customHeight="1" s="1">
      <c r="A54" s="8" t="n">
        <v>53</v>
      </c>
      <c r="B54" s="8" t="inlineStr">
        <is>
          <t>IRG125-160/22</t>
        </is>
      </c>
      <c r="C54" s="8" t="n">
        <v>22</v>
      </c>
      <c r="D54" s="8" t="n">
        <v>125</v>
      </c>
      <c r="E54" s="8" t="n">
        <v>160</v>
      </c>
      <c r="F54" s="8" t="n">
        <v>32</v>
      </c>
      <c r="G54" s="21">
        <f>ROUNDUP(K54*1.4, -5)</f>
        <v/>
      </c>
      <c r="H54" s="22">
        <f>ROUNDUP(K54*1.7, -5)</f>
        <v/>
      </c>
      <c r="I54" s="23">
        <f>ROUNDUP(K54*2.5, -5)</f>
        <v/>
      </c>
      <c r="J54" s="33" t="n"/>
      <c r="K54" s="33" t="n">
        <v>24180000</v>
      </c>
      <c r="L54" s="33" t="n"/>
      <c r="M54" s="46" t="n"/>
      <c r="O54" s="8" t="inlineStr">
        <is>
          <t>Có</t>
        </is>
      </c>
      <c r="P54" s="8" t="inlineStr">
        <is>
          <t>Có</t>
        </is>
      </c>
      <c r="Q54" s="8" t="inlineStr">
        <is>
          <t>Có</t>
        </is>
      </c>
      <c r="R54" s="8" t="inlineStr">
        <is>
          <t>PEROTAC - Bơm trục đứng IRG.pdf, tr.2 (hãng khác: REDPUMP, AQUARIS)</t>
        </is>
      </c>
    </row>
    <row r="55" ht="18" customHeight="1" s="1">
      <c r="A55" s="14" t="n">
        <v>54</v>
      </c>
      <c r="B55" s="14" t="inlineStr">
        <is>
          <t>IRG150-160/22</t>
        </is>
      </c>
      <c r="C55" s="14" t="n">
        <v>22</v>
      </c>
      <c r="D55" s="14" t="n">
        <v>150</v>
      </c>
      <c r="E55" s="14" t="n">
        <v>200</v>
      </c>
      <c r="F55" s="14" t="n">
        <v>30</v>
      </c>
      <c r="G55" s="21">
        <f>ROUNDUP(K55*1.4, -5)</f>
        <v/>
      </c>
      <c r="H55" s="22">
        <f>ROUNDUP(K55*1.7, -5)</f>
        <v/>
      </c>
      <c r="I55" s="23">
        <f>ROUNDUP(K55*2.5, -5)</f>
        <v/>
      </c>
      <c r="J55" s="35" t="n"/>
      <c r="K55" s="33" t="n">
        <v>24180000</v>
      </c>
      <c r="L55" s="35" t="n"/>
      <c r="M55" s="46" t="n"/>
      <c r="S55" s="44" t="inlineStr">
        <is>
          <t>Không có trong catalogue đã duyệt – giữ nguyên thông số cũ</t>
        </is>
      </c>
    </row>
    <row r="56" ht="18" customHeight="1" s="1">
      <c r="A56" s="8" t="n">
        <v>55</v>
      </c>
      <c r="B56" s="8" t="inlineStr">
        <is>
          <t>IRG200-315/22</t>
        </is>
      </c>
      <c r="C56" s="8" t="n">
        <v>22</v>
      </c>
      <c r="D56" s="8" t="n">
        <v>200</v>
      </c>
      <c r="E56" s="8" t="n">
        <v>245</v>
      </c>
      <c r="F56" s="8" t="n">
        <v>25</v>
      </c>
      <c r="G56" s="21">
        <f>ROUNDUP(K56*1.4, -5)</f>
        <v/>
      </c>
      <c r="H56" s="22">
        <f>ROUNDUP(K56*1.7, -5)</f>
        <v/>
      </c>
      <c r="I56" s="23">
        <f>ROUNDUP(K56*2.5, -5)</f>
        <v/>
      </c>
      <c r="J56" s="33" t="n"/>
      <c r="K56" s="33" t="n">
        <v>24180000</v>
      </c>
      <c r="L56" s="33" t="n"/>
      <c r="M56" s="46" t="n"/>
      <c r="S56" s="44" t="inlineStr">
        <is>
          <t>Không có trong catalogue đã duyệt – giữ nguyên thông số cũ</t>
        </is>
      </c>
    </row>
    <row r="57" ht="18" customHeight="1" s="1">
      <c r="A57" s="14" t="n">
        <v>56</v>
      </c>
      <c r="B57" s="14" t="inlineStr">
        <is>
          <t>IRG125-200/30</t>
        </is>
      </c>
      <c r="C57" s="14" t="n">
        <v>30</v>
      </c>
      <c r="D57" s="14" t="n">
        <v>125</v>
      </c>
      <c r="E57" s="14" t="n">
        <v>150</v>
      </c>
      <c r="F57" s="43" t="n">
        <v>44</v>
      </c>
      <c r="G57" s="21">
        <f>ROUNDUP(K57*1.4, -5)</f>
        <v/>
      </c>
      <c r="H57" s="22">
        <f>ROUNDUP(K57*1.7, -5)</f>
        <v/>
      </c>
      <c r="I57" s="23">
        <f>ROUNDUP(K57*2.5, -5)</f>
        <v/>
      </c>
      <c r="J57" s="35" t="n"/>
      <c r="K57" s="35">
        <f>K56*1.5</f>
        <v/>
      </c>
      <c r="L57" s="35" t="n"/>
      <c r="M57" s="46" t="n"/>
      <c r="N57" s="29" t="inlineStr">
        <is>
          <t>Giá dự kiến</t>
        </is>
      </c>
      <c r="O57" s="14" t="inlineStr">
        <is>
          <t>Có</t>
        </is>
      </c>
      <c r="P57" s="14" t="inlineStr">
        <is>
          <t>Có</t>
        </is>
      </c>
      <c r="Q57" s="14" t="inlineStr">
        <is>
          <t>Có</t>
        </is>
      </c>
      <c r="R57" s="14" t="inlineStr">
        <is>
          <t>PEROTAC - Bơm trục đứng IRG.pdf, tr.2 (hãng khác: REDPUMP, AQUARIS)</t>
        </is>
      </c>
    </row>
    <row r="58" ht="18" customHeight="1" s="1">
      <c r="A58" s="8" t="n">
        <v>57</v>
      </c>
      <c r="B58" s="8" t="inlineStr">
        <is>
          <t>IRG150-200/30</t>
        </is>
      </c>
      <c r="C58" s="8" t="n">
        <v>30</v>
      </c>
      <c r="D58" s="8" t="n">
        <v>150</v>
      </c>
      <c r="E58" s="8" t="n">
        <v>172</v>
      </c>
      <c r="F58" s="8" t="n">
        <v>37</v>
      </c>
      <c r="G58" s="21">
        <f>ROUNDUP(K58*1.4, -5)</f>
        <v/>
      </c>
      <c r="H58" s="22">
        <f>ROUNDUP(K58*1.7, -5)</f>
        <v/>
      </c>
      <c r="I58" s="23">
        <f>ROUNDUP(K58*2.5, -5)</f>
        <v/>
      </c>
      <c r="J58" s="33" t="n"/>
      <c r="K58" s="35" t="n">
        <v>36270000</v>
      </c>
      <c r="L58" s="33" t="n"/>
      <c r="M58" s="46" t="n"/>
      <c r="N58" s="29" t="inlineStr">
        <is>
          <t>Giá dự kiến</t>
        </is>
      </c>
      <c r="S58" s="44" t="inlineStr">
        <is>
          <t>Không có trong catalogue đã duyệt – giữ nguyên thông số cũ</t>
        </is>
      </c>
    </row>
    <row r="59" ht="18" customHeight="1" s="1">
      <c r="A59" s="14" t="n">
        <v>58</v>
      </c>
      <c r="B59" s="14" t="inlineStr">
        <is>
          <t>IRG200-315/30</t>
        </is>
      </c>
      <c r="C59" s="14" t="n">
        <v>30</v>
      </c>
      <c r="D59" s="14" t="n">
        <v>200</v>
      </c>
      <c r="E59" s="14" t="n">
        <v>260</v>
      </c>
      <c r="F59" s="14" t="n">
        <v>34</v>
      </c>
      <c r="G59" s="21">
        <f>ROUNDUP(K59*1.4, -5)</f>
        <v/>
      </c>
      <c r="H59" s="22">
        <f>ROUNDUP(K59*1.7, -5)</f>
        <v/>
      </c>
      <c r="I59" s="23">
        <f>ROUNDUP(K59*2.5, -5)</f>
        <v/>
      </c>
      <c r="J59" s="35" t="n"/>
      <c r="K59" s="35" t="n">
        <v>36270000</v>
      </c>
      <c r="L59" s="35" t="n"/>
      <c r="M59" s="46" t="n"/>
      <c r="N59" s="29" t="inlineStr">
        <is>
          <t>Giá dự kiến</t>
        </is>
      </c>
      <c r="S59" s="44" t="inlineStr">
        <is>
          <t>Không có trong catalogue đã duyệt – giữ nguyên thông số cũ</t>
        </is>
      </c>
    </row>
    <row r="60" ht="18" customHeight="1" s="1">
      <c r="A60" s="8" t="n">
        <v>59</v>
      </c>
      <c r="B60" s="8" t="inlineStr">
        <is>
          <t>IRG125-200/37</t>
        </is>
      </c>
      <c r="C60" s="8" t="n">
        <v>37</v>
      </c>
      <c r="D60" s="8" t="n">
        <v>125</v>
      </c>
      <c r="E60" s="8" t="n">
        <v>160</v>
      </c>
      <c r="F60" s="8" t="n">
        <v>50</v>
      </c>
      <c r="G60" s="21">
        <f>ROUNDUP(K60*1.4, -5)</f>
        <v/>
      </c>
      <c r="H60" s="22">
        <f>ROUNDUP(K60*1.7, -5)</f>
        <v/>
      </c>
      <c r="I60" s="23">
        <f>ROUNDUP(K60*2.5, -5)</f>
        <v/>
      </c>
      <c r="J60" s="33" t="n"/>
      <c r="K60" s="33" t="n">
        <v>50700000</v>
      </c>
      <c r="L60" s="33" t="n"/>
      <c r="M60" s="46" t="n"/>
      <c r="N60" s="29" t="inlineStr">
        <is>
          <t>Giá dự kiến</t>
        </is>
      </c>
      <c r="O60" s="8" t="inlineStr">
        <is>
          <t>Có</t>
        </is>
      </c>
      <c r="P60" s="8" t="inlineStr">
        <is>
          <t>Có</t>
        </is>
      </c>
      <c r="Q60" s="8" t="inlineStr">
        <is>
          <t>Có</t>
        </is>
      </c>
      <c r="R60" s="8" t="inlineStr">
        <is>
          <t>PEROTAC - Bơm trục đứng IRG.pdf, tr.2 (hãng khác: REDPUMP, AQUARIS)</t>
        </is>
      </c>
    </row>
    <row r="61" ht="18" customHeight="1" s="1">
      <c r="A61" s="14" t="n">
        <v>60</v>
      </c>
      <c r="B61" s="14" t="inlineStr">
        <is>
          <t>IRG150-200/37</t>
        </is>
      </c>
      <c r="C61" s="14" t="n">
        <v>37</v>
      </c>
      <c r="D61" s="14" t="n">
        <v>150</v>
      </c>
      <c r="E61" s="14" t="n">
        <v>187</v>
      </c>
      <c r="F61" s="14" t="n">
        <v>44</v>
      </c>
      <c r="G61" s="21">
        <f>ROUNDUP(K61*1.4, -5)</f>
        <v/>
      </c>
      <c r="H61" s="22">
        <f>ROUNDUP(K61*1.7, -5)</f>
        <v/>
      </c>
      <c r="I61" s="23">
        <f>ROUNDUP(K61*2.5, -5)</f>
        <v/>
      </c>
      <c r="J61" s="35" t="n"/>
      <c r="K61" s="35" t="n">
        <v>50700000</v>
      </c>
      <c r="L61" s="35" t="n"/>
      <c r="M61" s="46" t="n"/>
      <c r="N61" s="29" t="inlineStr">
        <is>
          <t>Giá dự kiến</t>
        </is>
      </c>
      <c r="S61" s="44" t="inlineStr">
        <is>
          <t>Không có trong catalogue đã duyệt – giữ nguyên thông số cũ</t>
        </is>
      </c>
    </row>
    <row r="62" ht="18" customHeight="1" s="1">
      <c r="A62" s="8" t="n">
        <v>61</v>
      </c>
      <c r="B62" s="8" t="inlineStr">
        <is>
          <t>IRG200-400/37</t>
        </is>
      </c>
      <c r="C62" s="8" t="n">
        <v>37</v>
      </c>
      <c r="D62" s="8" t="n">
        <v>200</v>
      </c>
      <c r="E62" s="8" t="n">
        <v>248</v>
      </c>
      <c r="F62" s="8" t="n">
        <v>46</v>
      </c>
      <c r="G62" s="21">
        <f>ROUNDUP(K62*1.4, -5)</f>
        <v/>
      </c>
      <c r="H62" s="22">
        <f>ROUNDUP(K62*1.7, -5)</f>
        <v/>
      </c>
      <c r="I62" s="23">
        <f>ROUNDUP(K62*2.5, -5)</f>
        <v/>
      </c>
      <c r="J62" s="33" t="n"/>
      <c r="K62" s="33" t="n">
        <v>70000000</v>
      </c>
      <c r="L62" s="33" t="n"/>
      <c r="M62" s="46" t="n"/>
      <c r="N62" s="29" t="inlineStr">
        <is>
          <t>Giá dự kiến</t>
        </is>
      </c>
      <c r="S62" s="44" t="inlineStr">
        <is>
          <t>Không có trong catalogue đã duyệt – giữ nguyên thông số cũ</t>
        </is>
      </c>
    </row>
    <row r="63" ht="18" customHeight="1" s="1">
      <c r="A63" s="14" t="n">
        <v>62</v>
      </c>
      <c r="B63" s="14" t="inlineStr">
        <is>
          <t>IRG200-400/45</t>
        </is>
      </c>
      <c r="C63" s="14" t="n">
        <v>45</v>
      </c>
      <c r="D63" s="14" t="n">
        <v>200</v>
      </c>
      <c r="E63" s="14" t="n">
        <v>292</v>
      </c>
      <c r="F63" s="14" t="n">
        <v>52</v>
      </c>
      <c r="G63" s="21">
        <f>ROUNDUP(K63*1.4, -5)</f>
        <v/>
      </c>
      <c r="H63" s="22">
        <f>ROUNDUP(K63*1.7, -5)</f>
        <v/>
      </c>
      <c r="I63" s="23">
        <f>ROUNDUP(K63*2.5, -5)</f>
        <v/>
      </c>
      <c r="J63" s="35" t="n"/>
      <c r="K63" s="35" t="n">
        <v>81200000</v>
      </c>
      <c r="L63" s="35" t="n"/>
      <c r="M63" s="45" t="n"/>
      <c r="N63" s="29" t="inlineStr">
        <is>
          <t>Giá dự kiến</t>
        </is>
      </c>
      <c r="S63" s="44" t="inlineStr">
        <is>
          <t>Không có trong catalogue đã duyệt – giữ nguyên thông số cũ</t>
        </is>
      </c>
    </row>
    <row r="64" ht="18" customHeight="1" s="1"/>
  </sheetData>
  <mergeCells count="2">
    <mergeCell ref="N2:N7"/>
    <mergeCell ref="M2:M63"/>
  </mergeCells>
  <pageMargins left="0.7" right="0.7" top="0.75" bottom="0.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U41"/>
  <sheetViews>
    <sheetView zoomScaleNormal="100" workbookViewId="0">
      <pane xSplit="2" ySplit="1" topLeftCell="C2" activePane="bottomRight" state="frozen"/>
      <selection pane="topRight" activeCell="A1" sqref="A1"/>
      <selection pane="bottomLeft" activeCell="A1" sqref="A1"/>
      <selection pane="bottomRight" activeCell="P34" sqref="P34"/>
    </sheetView>
  </sheetViews>
  <sheetFormatPr baseColWidth="8" defaultColWidth="8.7109375" defaultRowHeight="15"/>
  <cols>
    <col width="5" customWidth="1" style="1" min="1" max="1"/>
    <col width="24" customWidth="1" style="1" min="2" max="2"/>
    <col width="12" customWidth="1" style="1" min="3" max="4"/>
    <col width="13" customWidth="1" style="1" min="4" max="4"/>
    <col width="13" customWidth="1" style="1" min="5" max="5"/>
    <col width="11" customWidth="1" style="1" min="6" max="6"/>
    <col width="13" customWidth="1" style="24" min="7" max="9"/>
    <col width="13" customWidth="1" style="1" min="8" max="8"/>
    <col width="13" customWidth="1" style="1" min="9" max="9"/>
    <col width="14" customWidth="1" style="1" min="10" max="12"/>
    <col width="13" customWidth="1" style="1" min="11" max="11"/>
    <col width="13" customWidth="1" style="1" min="12" max="12"/>
    <col width="16" customWidth="1" style="1" min="13" max="13"/>
    <col width="16" customWidth="1" style="1" min="14" max="14"/>
    <col width="16" customWidth="1" style="1" min="15" max="15"/>
    <col width="16" customWidth="1" style="1" min="16" max="16"/>
    <col width="16" customWidth="1" style="1" min="17" max="17"/>
    <col width="16" customWidth="1" style="1" min="18" max="18"/>
    <col width="16" customWidth="1" style="1" min="19" max="19"/>
    <col width="40" customWidth="1" style="1" min="20" max="20"/>
    <col width="45" customWidth="1" style="1" min="21" max="21"/>
  </cols>
  <sheetData>
    <row r="1" ht="30" customHeight="1" s="1">
      <c r="A1" s="2" t="inlineStr">
        <is>
          <t>STT</t>
        </is>
      </c>
      <c r="B1" s="2" t="inlineStr">
        <is>
          <t>MODEL</t>
        </is>
      </c>
      <c r="C1" s="2" t="inlineStr">
        <is>
          <t>Công suất (kw)</t>
        </is>
      </c>
      <c r="D1" s="2" t="inlineStr">
        <is>
          <t>Họng hút/xả (mm)</t>
        </is>
      </c>
      <c r="E1" s="2" t="inlineStr">
        <is>
          <t>Lưu lượng (m3/h)</t>
        </is>
      </c>
      <c r="F1" s="2" t="inlineStr">
        <is>
          <t>Cột áp (m)</t>
        </is>
      </c>
      <c r="G1" s="25" t="inlineStr">
        <is>
          <t>REDPUMP</t>
        </is>
      </c>
      <c r="H1" s="26" t="inlineStr">
        <is>
          <t>PEROTAC</t>
        </is>
      </c>
      <c r="I1" s="27" t="inlineStr">
        <is>
          <t>AQUARIS</t>
        </is>
      </c>
      <c r="J1" s="6" t="inlineStr">
        <is>
          <t>Giá nhập ĐL</t>
        </is>
      </c>
      <c r="K1" s="6" t="inlineStr">
        <is>
          <t>Giá nhập HT</t>
        </is>
      </c>
      <c r="L1" s="6" t="inlineStr">
        <is>
          <t>Giá nhập TK</t>
        </is>
      </c>
      <c r="M1" s="42" t="inlineStr">
        <is>
          <t>Có trong catalogue REDPUMP</t>
        </is>
      </c>
      <c r="N1" s="42" t="inlineStr">
        <is>
          <t>Có trong catalogue PEROTAC</t>
        </is>
      </c>
      <c r="O1" s="42" t="inlineStr">
        <is>
          <t>Có trong catalogue AQUARIS</t>
        </is>
      </c>
      <c r="P1" s="42" t="inlineStr">
        <is>
          <t>AQUARIS – Công suất (kw)</t>
        </is>
      </c>
      <c r="Q1" s="42" t="inlineStr">
        <is>
          <t>AQUARIS – Họng hút/xả (mm)</t>
        </is>
      </c>
      <c r="R1" s="42" t="inlineStr">
        <is>
          <t>AQUARIS – Lưu lượng (m3/h)</t>
        </is>
      </c>
      <c r="S1" s="42" t="inlineStr">
        <is>
          <t>AQUARIS – Cột áp (m)</t>
        </is>
      </c>
      <c r="T1" s="42" t="inlineStr">
        <is>
          <t>Nguồn thông số (catalogue đã duyệt)</t>
        </is>
      </c>
      <c r="U1" s="42" t="inlineStr">
        <is>
          <t>Ghi chú</t>
        </is>
      </c>
    </row>
    <row r="2" ht="18" customHeight="1" s="1">
      <c r="A2" s="8" t="n">
        <v>1</v>
      </c>
      <c r="B2" s="8" t="inlineStr">
        <is>
          <t>CM32-160/1.5</t>
        </is>
      </c>
      <c r="C2" s="8" t="n">
        <v>1.5</v>
      </c>
      <c r="D2" s="8" t="inlineStr">
        <is>
          <t>50/32</t>
        </is>
      </c>
      <c r="E2" s="8" t="inlineStr">
        <is>
          <t>0 - 18</t>
        </is>
      </c>
      <c r="F2" s="8" t="inlineStr">
        <is>
          <t>25.4 - 15.8</t>
        </is>
      </c>
      <c r="G2" s="9" t="n">
        <v>4700000</v>
      </c>
      <c r="H2" s="10" t="n">
        <v>5400000</v>
      </c>
      <c r="I2" s="19" t="n">
        <v>8730000</v>
      </c>
      <c r="J2" s="12" t="n">
        <v>3800000</v>
      </c>
      <c r="K2" s="20" t="n">
        <v>3744000</v>
      </c>
      <c r="L2" s="20" t="n">
        <v>3650000</v>
      </c>
      <c r="M2" s="8" t="inlineStr">
        <is>
          <t>Có</t>
        </is>
      </c>
      <c r="N2" s="8" t="inlineStr">
        <is>
          <t>Có</t>
        </is>
      </c>
      <c r="O2" s="8" t="inlineStr">
        <is>
          <t>Có</t>
        </is>
      </c>
      <c r="P2" s="8" t="n">
        <v>1.5</v>
      </c>
      <c r="Q2" s="8" t="inlineStr">
        <is>
          <t>50/32</t>
        </is>
      </c>
      <c r="R2" s="8" t="inlineStr">
        <is>
          <t>0 - 18</t>
        </is>
      </c>
      <c r="S2" s="8" t="inlineStr">
        <is>
          <t>25.4 - 15.8</t>
        </is>
      </c>
      <c r="T2" s="8" t="inlineStr">
        <is>
          <t>PEROTAC - Bơm trục ngang CM.pdf, tr.2 (hãng khác: AQUARIS, REDPUMP)</t>
        </is>
      </c>
    </row>
    <row r="3" ht="18" customHeight="1" s="1">
      <c r="A3" s="14" t="n">
        <v>2</v>
      </c>
      <c r="B3" s="14" t="inlineStr">
        <is>
          <t>CM32-160/2.2</t>
        </is>
      </c>
      <c r="C3" s="14" t="n">
        <v>2.2</v>
      </c>
      <c r="D3" s="14" t="inlineStr">
        <is>
          <t>50/32</t>
        </is>
      </c>
      <c r="E3" s="14" t="inlineStr">
        <is>
          <t>0 - 24</t>
        </is>
      </c>
      <c r="F3" s="14" t="inlineStr">
        <is>
          <t>31 - 15</t>
        </is>
      </c>
      <c r="G3" s="9" t="n">
        <v>5300000</v>
      </c>
      <c r="H3" s="10" t="n">
        <v>6200000</v>
      </c>
      <c r="I3" s="19" t="n">
        <v>9900000</v>
      </c>
      <c r="J3" s="15" t="n">
        <v>4200000</v>
      </c>
      <c r="K3" s="20" t="n">
        <v>4264000</v>
      </c>
      <c r="L3" s="20" t="n">
        <v>4150000</v>
      </c>
      <c r="M3" s="14" t="inlineStr">
        <is>
          <t>Có</t>
        </is>
      </c>
      <c r="N3" s="14" t="inlineStr">
        <is>
          <t>Có</t>
        </is>
      </c>
      <c r="O3" s="14" t="inlineStr">
        <is>
          <t>Có</t>
        </is>
      </c>
      <c r="P3" s="14" t="n">
        <v>2.2</v>
      </c>
      <c r="Q3" s="14" t="inlineStr">
        <is>
          <t>50/32</t>
        </is>
      </c>
      <c r="R3" s="14" t="inlineStr">
        <is>
          <t>0 - 24</t>
        </is>
      </c>
      <c r="S3" s="14" t="inlineStr">
        <is>
          <t>31 - 15</t>
        </is>
      </c>
      <c r="T3" s="14" t="inlineStr">
        <is>
          <t>PEROTAC - Bơm trục ngang CM.pdf, tr.2 (hãng khác: AQUARIS, REDPUMP)</t>
        </is>
      </c>
    </row>
    <row r="4" ht="18" customHeight="1" s="1">
      <c r="A4" s="14" t="n">
        <v>4</v>
      </c>
      <c r="B4" s="8" t="inlineStr">
        <is>
          <t>CM32-160/3.0</t>
        </is>
      </c>
      <c r="C4" s="8" t="n">
        <v>3</v>
      </c>
      <c r="D4" s="8" t="inlineStr">
        <is>
          <t>50/32</t>
        </is>
      </c>
      <c r="E4" s="8" t="inlineStr">
        <is>
          <t>0 - 27</t>
        </is>
      </c>
      <c r="F4" s="8" t="inlineStr">
        <is>
          <t>35 - 15</t>
        </is>
      </c>
      <c r="G4" s="9" t="n">
        <v>5700000</v>
      </c>
      <c r="H4" s="10" t="n">
        <v>6600000</v>
      </c>
      <c r="I4" s="37" t="n">
        <v>10440000</v>
      </c>
      <c r="J4" s="12" t="n">
        <v>4500000</v>
      </c>
      <c r="K4" s="20" t="n">
        <v>4552000</v>
      </c>
      <c r="L4" s="20" t="n">
        <v>4400000</v>
      </c>
      <c r="M4" s="8" t="inlineStr">
        <is>
          <t>Có</t>
        </is>
      </c>
      <c r="N4" s="8" t="inlineStr">
        <is>
          <t>Có</t>
        </is>
      </c>
      <c r="O4" s="44" t="inlineStr">
        <is>
          <t>Không có</t>
        </is>
      </c>
      <c r="P4" s="8" t="inlineStr">
        <is>
          <t>Không có</t>
        </is>
      </c>
      <c r="Q4" s="8" t="inlineStr">
        <is>
          <t>Không có</t>
        </is>
      </c>
      <c r="R4" s="8" t="inlineStr">
        <is>
          <t>Không có</t>
        </is>
      </c>
      <c r="S4" s="8" t="inlineStr">
        <is>
          <t>Không có</t>
        </is>
      </c>
      <c r="T4" s="8" t="inlineStr">
        <is>
          <t>PEROTAC - Bơm trục ngang CM.pdf, tr.2 (hãng khác: REDPUMP)</t>
        </is>
      </c>
      <c r="U4" s="8" t="inlineStr">
        <is>
          <t>Có giá AQUARIS nhưng catalogue AQUARIS không có mã này</t>
        </is>
      </c>
    </row>
    <row r="5" ht="18" customHeight="1" s="1">
      <c r="A5" s="8" t="n">
        <v>5</v>
      </c>
      <c r="B5" s="8" t="inlineStr">
        <is>
          <t>CM32-200/4.0</t>
        </is>
      </c>
      <c r="C5" s="8" t="n">
        <v>4</v>
      </c>
      <c r="D5" s="8" t="inlineStr">
        <is>
          <t>50/32</t>
        </is>
      </c>
      <c r="E5" s="8" t="inlineStr">
        <is>
          <t>0 - 27</t>
        </is>
      </c>
      <c r="F5" s="43" t="inlineStr">
        <is>
          <t>54.5 - 28</t>
        </is>
      </c>
      <c r="G5" s="9" t="n">
        <v>7400000</v>
      </c>
      <c r="H5" s="10" t="n">
        <v>8600000</v>
      </c>
      <c r="I5" s="19" t="n">
        <v>11250000</v>
      </c>
      <c r="J5" s="12" t="n">
        <v>5900000</v>
      </c>
      <c r="K5" s="20" t="n"/>
      <c r="L5" s="20" t="n">
        <v>5300000</v>
      </c>
      <c r="M5" s="8" t="inlineStr">
        <is>
          <t>Có</t>
        </is>
      </c>
      <c r="N5" s="8" t="inlineStr">
        <is>
          <t>Có</t>
        </is>
      </c>
      <c r="O5" s="8" t="inlineStr">
        <is>
          <t>Có</t>
        </is>
      </c>
      <c r="P5" s="8" t="n">
        <v>4</v>
      </c>
      <c r="Q5" s="8" t="inlineStr">
        <is>
          <t>50/32</t>
        </is>
      </c>
      <c r="R5" s="8" t="inlineStr">
        <is>
          <t>0 - 27</t>
        </is>
      </c>
      <c r="S5" s="8" t="inlineStr">
        <is>
          <t>54.5 - 28</t>
        </is>
      </c>
      <c r="T5" s="8" t="inlineStr">
        <is>
          <t>PEROTAC - Bơm trục ngang CM.pdf, tr.2 (hãng khác: AQUARIS, REDPUMP)</t>
        </is>
      </c>
    </row>
    <row r="6" ht="18" customHeight="1" s="1">
      <c r="A6" s="14" t="n">
        <v>6</v>
      </c>
      <c r="B6" s="14" t="inlineStr">
        <is>
          <t>CM32-250/5.5</t>
        </is>
      </c>
      <c r="C6" s="14" t="n">
        <v>5.5</v>
      </c>
      <c r="D6" s="14" t="inlineStr">
        <is>
          <t>50/32</t>
        </is>
      </c>
      <c r="E6" s="14" t="inlineStr">
        <is>
          <t>0 - 24</t>
        </is>
      </c>
      <c r="F6" s="14" t="inlineStr">
        <is>
          <t>60 - 34.5</t>
        </is>
      </c>
      <c r="G6" s="9" t="n">
        <v>9500000</v>
      </c>
      <c r="H6" s="10" t="n">
        <v>11000000</v>
      </c>
      <c r="I6" s="19" t="n">
        <v>17280000</v>
      </c>
      <c r="J6" s="20" t="n">
        <v>7200000</v>
      </c>
      <c r="K6" s="15" t="n"/>
      <c r="L6" s="15" t="n"/>
      <c r="M6" s="14" t="inlineStr">
        <is>
          <t>Có</t>
        </is>
      </c>
      <c r="N6" s="14" t="inlineStr">
        <is>
          <t>Có</t>
        </is>
      </c>
      <c r="O6" s="14" t="inlineStr">
        <is>
          <t>Có</t>
        </is>
      </c>
      <c r="P6" s="14" t="n">
        <v>5.5</v>
      </c>
      <c r="Q6" s="14" t="inlineStr">
        <is>
          <t>50/32</t>
        </is>
      </c>
      <c r="R6" s="14" t="inlineStr">
        <is>
          <t>0 - 24</t>
        </is>
      </c>
      <c r="S6" s="14" t="inlineStr">
        <is>
          <t>60 - 34.5</t>
        </is>
      </c>
      <c r="T6" s="14" t="inlineStr">
        <is>
          <t>PEROTAC - Bơm trục ngang CM.pdf, tr.2 (hãng khác: AQUARIS, REDPUMP)</t>
        </is>
      </c>
    </row>
    <row r="7" ht="18" customHeight="1" s="1">
      <c r="A7" s="8" t="n">
        <v>7</v>
      </c>
      <c r="B7" s="8" t="inlineStr">
        <is>
          <t>CM32-250/7.5</t>
        </is>
      </c>
      <c r="C7" s="8" t="n">
        <v>7.5</v>
      </c>
      <c r="D7" s="8" t="inlineStr">
        <is>
          <t>50/32</t>
        </is>
      </c>
      <c r="E7" s="8" t="inlineStr">
        <is>
          <t>0 - 24</t>
        </is>
      </c>
      <c r="F7" s="8" t="inlineStr">
        <is>
          <t>69.5 - 53</t>
        </is>
      </c>
      <c r="G7" s="9" t="n">
        <v>9700000</v>
      </c>
      <c r="H7" s="10" t="n">
        <v>11300000</v>
      </c>
      <c r="I7" s="19" t="n">
        <v>18000000</v>
      </c>
      <c r="J7" s="12" t="n">
        <v>8600000</v>
      </c>
      <c r="K7" s="20" t="n"/>
      <c r="L7" s="20" t="n"/>
      <c r="M7" s="8" t="inlineStr">
        <is>
          <t>Có</t>
        </is>
      </c>
      <c r="N7" s="8" t="inlineStr">
        <is>
          <t>Có</t>
        </is>
      </c>
      <c r="O7" s="8" t="inlineStr">
        <is>
          <t>Có</t>
        </is>
      </c>
      <c r="P7" s="8" t="n">
        <v>7.5</v>
      </c>
      <c r="Q7" s="8" t="inlineStr">
        <is>
          <t>50/32</t>
        </is>
      </c>
      <c r="R7" s="8" t="inlineStr">
        <is>
          <t>0 - 24</t>
        </is>
      </c>
      <c r="S7" s="8" t="inlineStr">
        <is>
          <t>69.5 - 53</t>
        </is>
      </c>
      <c r="T7" s="8" t="inlineStr">
        <is>
          <t>PEROTAC - Bơm trục ngang CM.pdf, tr.2 (hãng khác: AQUARIS, REDPUMP)</t>
        </is>
      </c>
    </row>
    <row r="8" ht="18" customHeight="1" s="1">
      <c r="A8" s="14" t="n">
        <v>8</v>
      </c>
      <c r="B8" s="14" t="inlineStr">
        <is>
          <t>CM32-250/9.2</t>
        </is>
      </c>
      <c r="C8" s="14" t="n">
        <v>9.199999999999999</v>
      </c>
      <c r="D8" s="14" t="inlineStr">
        <is>
          <t>50/32</t>
        </is>
      </c>
      <c r="E8" s="14" t="inlineStr">
        <is>
          <t>0 - 24</t>
        </is>
      </c>
      <c r="F8" s="14" t="inlineStr">
        <is>
          <t>75 - 59</t>
        </is>
      </c>
      <c r="G8" s="9" t="n">
        <v>12000000</v>
      </c>
      <c r="H8" s="10" t="n">
        <v>14000000</v>
      </c>
      <c r="I8" s="19" t="n">
        <v>22200000</v>
      </c>
      <c r="J8" s="14" t="n"/>
      <c r="K8" s="14" t="n"/>
      <c r="L8" s="14" t="n"/>
      <c r="M8" s="14" t="inlineStr">
        <is>
          <t>Có</t>
        </is>
      </c>
      <c r="N8" s="14" t="inlineStr">
        <is>
          <t>Có</t>
        </is>
      </c>
      <c r="O8" s="44" t="inlineStr">
        <is>
          <t>Không có</t>
        </is>
      </c>
      <c r="P8" s="14" t="inlineStr">
        <is>
          <t>Không có</t>
        </is>
      </c>
      <c r="Q8" s="14" t="inlineStr">
        <is>
          <t>Không có</t>
        </is>
      </c>
      <c r="R8" s="14" t="inlineStr">
        <is>
          <t>Không có</t>
        </is>
      </c>
      <c r="S8" s="14" t="inlineStr">
        <is>
          <t>Không có</t>
        </is>
      </c>
      <c r="T8" s="14" t="inlineStr">
        <is>
          <t>PEROTAC - Bơm trục ngang CM.pdf, tr.2 (hãng khác: REDPUMP)</t>
        </is>
      </c>
      <c r="U8" s="14" t="inlineStr">
        <is>
          <t>Có giá AQUARIS nhưng catalogue AQUARIS không có mã này</t>
        </is>
      </c>
    </row>
    <row r="9" ht="18" customHeight="1" s="1">
      <c r="A9" s="8" t="n">
        <v>13</v>
      </c>
      <c r="B9" s="8" t="inlineStr">
        <is>
          <t>CM40-160/3.0</t>
        </is>
      </c>
      <c r="C9" s="8" t="n">
        <v>3</v>
      </c>
      <c r="D9" s="8" t="inlineStr">
        <is>
          <t>65/40</t>
        </is>
      </c>
      <c r="E9" s="43" t="inlineStr">
        <is>
          <t>0 - 42</t>
        </is>
      </c>
      <c r="F9" s="8" t="inlineStr">
        <is>
          <t>31.8 - 17.5</t>
        </is>
      </c>
      <c r="G9" s="9" t="n">
        <v>5700000</v>
      </c>
      <c r="H9" s="10" t="n">
        <v>6600000</v>
      </c>
      <c r="I9" s="19" t="n">
        <v>10440000</v>
      </c>
      <c r="J9" s="12" t="n">
        <v>4500000</v>
      </c>
      <c r="K9" s="20" t="n"/>
      <c r="L9" s="20" t="n"/>
      <c r="M9" s="8" t="inlineStr">
        <is>
          <t>Có</t>
        </is>
      </c>
      <c r="N9" s="8" t="inlineStr">
        <is>
          <t>Có</t>
        </is>
      </c>
      <c r="O9" s="8" t="inlineStr">
        <is>
          <t>Có</t>
        </is>
      </c>
      <c r="P9" s="8" t="n">
        <v>3</v>
      </c>
      <c r="Q9" s="8" t="inlineStr">
        <is>
          <t>65/40</t>
        </is>
      </c>
      <c r="R9" s="43" t="inlineStr">
        <is>
          <t>9 - 36</t>
        </is>
      </c>
      <c r="S9" s="43" t="inlineStr">
        <is>
          <t>30 - 21</t>
        </is>
      </c>
      <c r="T9" s="8" t="inlineStr">
        <is>
          <t>PEROTAC - Bơm trục ngang CM.pdf, tr.3 (hãng khác: AQUARIS, REDPUMP)</t>
        </is>
      </c>
      <c r="U9" s="8" t="inlineStr">
        <is>
          <t>Thông số AQUARIS khác PEROTAC (xem cột riêng)</t>
        </is>
      </c>
    </row>
    <row r="10" ht="18" customHeight="1" s="1">
      <c r="A10" s="14" t="n">
        <v>14</v>
      </c>
      <c r="B10" s="14" t="inlineStr">
        <is>
          <t>CM40-160/4.0</t>
        </is>
      </c>
      <c r="C10" s="14" t="n">
        <v>4</v>
      </c>
      <c r="D10" s="14" t="inlineStr">
        <is>
          <t>65/40</t>
        </is>
      </c>
      <c r="E10" s="43" t="inlineStr">
        <is>
          <t>0 - 48</t>
        </is>
      </c>
      <c r="F10" s="14" t="inlineStr">
        <is>
          <t>38 - 20.1</t>
        </is>
      </c>
      <c r="G10" s="9" t="n">
        <v>7400000</v>
      </c>
      <c r="H10" s="10" t="n">
        <v>8600000</v>
      </c>
      <c r="I10" s="19" t="n">
        <v>11250000</v>
      </c>
      <c r="J10" s="15" t="n">
        <v>5900000</v>
      </c>
      <c r="K10" s="20" t="n">
        <v>5464000</v>
      </c>
      <c r="L10" s="20" t="n">
        <v>5300000</v>
      </c>
      <c r="M10" s="14" t="inlineStr">
        <is>
          <t>Có</t>
        </is>
      </c>
      <c r="N10" s="14" t="inlineStr">
        <is>
          <t>Có</t>
        </is>
      </c>
      <c r="O10" s="14" t="inlineStr">
        <is>
          <t>Có</t>
        </is>
      </c>
      <c r="P10" s="14" t="n">
        <v>4</v>
      </c>
      <c r="Q10" s="14" t="inlineStr">
        <is>
          <t>65/40</t>
        </is>
      </c>
      <c r="R10" s="43" t="inlineStr">
        <is>
          <t>9 - 39</t>
        </is>
      </c>
      <c r="S10" s="43" t="inlineStr">
        <is>
          <t>35.5 - 25</t>
        </is>
      </c>
      <c r="T10" s="14" t="inlineStr">
        <is>
          <t>PEROTAC - Bơm trục ngang CM.pdf, tr.3 (hãng khác: AQUARIS, REDPUMP)</t>
        </is>
      </c>
      <c r="U10" s="14" t="inlineStr">
        <is>
          <t>Thông số AQUARIS khác PEROTAC (xem cột riêng)</t>
        </is>
      </c>
    </row>
    <row r="11" ht="18" customHeight="1" s="1">
      <c r="A11" s="8" t="n">
        <v>15</v>
      </c>
      <c r="B11" s="8" t="inlineStr">
        <is>
          <t>CM40-200/5.5</t>
        </is>
      </c>
      <c r="C11" s="8" t="n">
        <v>5.5</v>
      </c>
      <c r="D11" s="8" t="inlineStr">
        <is>
          <t>65/40</t>
        </is>
      </c>
      <c r="E11" s="43" t="inlineStr">
        <is>
          <t>0 - 42</t>
        </is>
      </c>
      <c r="F11" s="8" t="inlineStr">
        <is>
          <t>46 - 30</t>
        </is>
      </c>
      <c r="G11" s="9" t="n">
        <v>9500000</v>
      </c>
      <c r="H11" s="10" t="n">
        <v>11000000</v>
      </c>
      <c r="I11" s="19" t="n">
        <v>17280000</v>
      </c>
      <c r="J11" s="20" t="n">
        <v>7200000</v>
      </c>
      <c r="K11" s="12" t="n">
        <v>7320000</v>
      </c>
      <c r="L11" s="12" t="n">
        <v>7000000</v>
      </c>
      <c r="M11" s="8" t="inlineStr">
        <is>
          <t>Có</t>
        </is>
      </c>
      <c r="N11" s="8" t="inlineStr">
        <is>
          <t>Có</t>
        </is>
      </c>
      <c r="O11" s="8" t="inlineStr">
        <is>
          <t>Có</t>
        </is>
      </c>
      <c r="P11" s="8" t="n">
        <v>5.5</v>
      </c>
      <c r="Q11" s="8" t="inlineStr">
        <is>
          <t>65/40</t>
        </is>
      </c>
      <c r="R11" s="43" t="inlineStr">
        <is>
          <t>9 - 42</t>
        </is>
      </c>
      <c r="S11" s="43" t="inlineStr">
        <is>
          <t>44 - 30.5</t>
        </is>
      </c>
      <c r="T11" s="8" t="inlineStr">
        <is>
          <t>PEROTAC - Bơm trục ngang CM.pdf, tr.3 (hãng khác: AQUARIS, REDPUMP)</t>
        </is>
      </c>
      <c r="U11" s="8" t="inlineStr">
        <is>
          <t>Thông số AQUARIS khác PEROTAC (xem cột riêng)</t>
        </is>
      </c>
    </row>
    <row r="12" ht="18" customHeight="1" s="1">
      <c r="A12" s="14" t="n">
        <v>16</v>
      </c>
      <c r="B12" s="14" t="inlineStr">
        <is>
          <t>CM40-200/7.5</t>
        </is>
      </c>
      <c r="C12" s="14" t="n">
        <v>7.5</v>
      </c>
      <c r="D12" s="14" t="inlineStr">
        <is>
          <t>65/40</t>
        </is>
      </c>
      <c r="E12" s="43" t="inlineStr">
        <is>
          <t>0 - 48</t>
        </is>
      </c>
      <c r="F12" s="14" t="inlineStr">
        <is>
          <t>57 - 36.5</t>
        </is>
      </c>
      <c r="G12" s="9" t="n">
        <v>9700000</v>
      </c>
      <c r="H12" s="10" t="n">
        <v>11300000</v>
      </c>
      <c r="I12" s="19" t="n">
        <v>18000000</v>
      </c>
      <c r="J12" s="15" t="n">
        <v>8600000</v>
      </c>
      <c r="K12" s="20" t="n">
        <v>7520000</v>
      </c>
      <c r="L12" s="20" t="n">
        <v>7200000</v>
      </c>
      <c r="M12" s="14" t="inlineStr">
        <is>
          <t>Có</t>
        </is>
      </c>
      <c r="N12" s="14" t="inlineStr">
        <is>
          <t>Có</t>
        </is>
      </c>
      <c r="O12" s="14" t="inlineStr">
        <is>
          <t>Có</t>
        </is>
      </c>
      <c r="P12" s="14" t="n">
        <v>7.5</v>
      </c>
      <c r="Q12" s="14" t="inlineStr">
        <is>
          <t>65/40</t>
        </is>
      </c>
      <c r="R12" s="43" t="inlineStr">
        <is>
          <t>9 - 42</t>
        </is>
      </c>
      <c r="S12" s="43" t="inlineStr">
        <is>
          <t>56.5 - 40.5</t>
        </is>
      </c>
      <c r="T12" s="14" t="inlineStr">
        <is>
          <t>PEROTAC - Bơm trục ngang CM.pdf, tr.3 (hãng khác: AQUARIS, REDPUMP)</t>
        </is>
      </c>
      <c r="U12" s="14" t="inlineStr">
        <is>
          <t>Thông số AQUARIS khác PEROTAC (xem cột riêng)</t>
        </is>
      </c>
    </row>
    <row r="13" ht="18" customHeight="1" s="1">
      <c r="A13" s="8" t="n">
        <v>17</v>
      </c>
      <c r="B13" s="8" t="inlineStr">
        <is>
          <t>CM40-250/9.2</t>
        </is>
      </c>
      <c r="C13" s="8" t="n">
        <v>9.199999999999999</v>
      </c>
      <c r="D13" s="8" t="inlineStr">
        <is>
          <t>65/40</t>
        </is>
      </c>
      <c r="E13" s="43" t="inlineStr">
        <is>
          <t>0 - 48</t>
        </is>
      </c>
      <c r="F13" s="8" t="inlineStr">
        <is>
          <t>64 - 39.8</t>
        </is>
      </c>
      <c r="G13" s="9" t="n">
        <v>12000000</v>
      </c>
      <c r="H13" s="10" t="n">
        <v>14000000</v>
      </c>
      <c r="I13" s="19" t="n">
        <v>22000000</v>
      </c>
      <c r="J13" s="8" t="n"/>
      <c r="K13" s="8" t="n"/>
      <c r="L13" s="8" t="n"/>
      <c r="M13" s="8" t="inlineStr">
        <is>
          <t>Có</t>
        </is>
      </c>
      <c r="N13" s="8" t="inlineStr">
        <is>
          <t>Có</t>
        </is>
      </c>
      <c r="O13" s="44" t="inlineStr">
        <is>
          <t>Không có</t>
        </is>
      </c>
      <c r="P13" s="8" t="inlineStr">
        <is>
          <t>Không có</t>
        </is>
      </c>
      <c r="Q13" s="8" t="inlineStr">
        <is>
          <t>Không có</t>
        </is>
      </c>
      <c r="R13" s="8" t="inlineStr">
        <is>
          <t>Không có</t>
        </is>
      </c>
      <c r="S13" s="8" t="inlineStr">
        <is>
          <t>Không có</t>
        </is>
      </c>
      <c r="T13" s="8" t="inlineStr">
        <is>
          <t>PEROTAC - Bơm trục ngang CM.pdf, tr.3 (hãng khác: REDPUMP)</t>
        </is>
      </c>
      <c r="U13" s="8" t="inlineStr">
        <is>
          <t>Có giá AQUARIS nhưng catalogue AQUARIS không có mã này</t>
        </is>
      </c>
    </row>
    <row r="14" ht="18" customHeight="1" s="1">
      <c r="A14" s="14" t="n">
        <v>18</v>
      </c>
      <c r="B14" s="14" t="inlineStr">
        <is>
          <t>CM40-250/11</t>
        </is>
      </c>
      <c r="C14" s="14" t="n">
        <v>11</v>
      </c>
      <c r="D14" s="14" t="inlineStr">
        <is>
          <t>65/40</t>
        </is>
      </c>
      <c r="E14" s="43" t="inlineStr">
        <is>
          <t>0 - 48</t>
        </is>
      </c>
      <c r="F14" s="14" t="inlineStr">
        <is>
          <t>72 - 47</t>
        </is>
      </c>
      <c r="G14" s="9" t="n">
        <v>14000000</v>
      </c>
      <c r="H14" s="10" t="n">
        <v>16200000</v>
      </c>
      <c r="I14" s="19" t="n">
        <v>25200000</v>
      </c>
      <c r="J14" s="15" t="n">
        <v>11000000</v>
      </c>
      <c r="K14" s="20" t="n">
        <v>10640000</v>
      </c>
      <c r="L14" s="20" t="n">
        <v>10650000</v>
      </c>
      <c r="M14" s="14" t="inlineStr">
        <is>
          <t>Có</t>
        </is>
      </c>
      <c r="N14" s="14" t="inlineStr">
        <is>
          <t>Có</t>
        </is>
      </c>
      <c r="O14" s="14" t="inlineStr">
        <is>
          <t>Có</t>
        </is>
      </c>
      <c r="P14" s="14" t="n">
        <v>11</v>
      </c>
      <c r="Q14" s="14" t="inlineStr">
        <is>
          <t>65/40</t>
        </is>
      </c>
      <c r="R14" s="43" t="inlineStr">
        <is>
          <t>9 - 42</t>
        </is>
      </c>
      <c r="S14" s="43" t="inlineStr">
        <is>
          <t>76.1 - 52.4</t>
        </is>
      </c>
      <c r="T14" s="14" t="inlineStr">
        <is>
          <t>PEROTAC - Bơm trục ngang CM.pdf, tr.3 (hãng khác: AQUARIS, REDPUMP)</t>
        </is>
      </c>
      <c r="U14" s="14" t="inlineStr">
        <is>
          <t>Thông số AQUARIS khác PEROTAC (xem cột riêng)</t>
        </is>
      </c>
    </row>
    <row r="15" ht="18" customHeight="1" s="1">
      <c r="A15" s="8" t="n">
        <v>19</v>
      </c>
      <c r="B15" s="8" t="inlineStr">
        <is>
          <t>CM40-250/15</t>
        </is>
      </c>
      <c r="C15" s="8" t="n">
        <v>15</v>
      </c>
      <c r="D15" s="8" t="inlineStr">
        <is>
          <t>65/40</t>
        </is>
      </c>
      <c r="E15" s="43" t="inlineStr">
        <is>
          <t>0 - 48</t>
        </is>
      </c>
      <c r="F15" s="8" t="inlineStr">
        <is>
          <t>84.5 - 61</t>
        </is>
      </c>
      <c r="G15" s="9" t="n">
        <v>15900000</v>
      </c>
      <c r="H15" s="10" t="n">
        <v>18400000</v>
      </c>
      <c r="I15" s="19" t="n">
        <v>28800000</v>
      </c>
      <c r="J15" s="12" t="n">
        <v>12700000</v>
      </c>
      <c r="K15" s="20" t="n">
        <v>12704000</v>
      </c>
      <c r="L15" s="20" t="n">
        <v>12300000</v>
      </c>
      <c r="M15" s="8" t="inlineStr">
        <is>
          <t>Có</t>
        </is>
      </c>
      <c r="N15" s="8" t="inlineStr">
        <is>
          <t>Có</t>
        </is>
      </c>
      <c r="O15" s="8" t="inlineStr">
        <is>
          <t>Có</t>
        </is>
      </c>
      <c r="P15" s="8" t="n">
        <v>15</v>
      </c>
      <c r="Q15" s="8" t="inlineStr">
        <is>
          <t>65/40</t>
        </is>
      </c>
      <c r="R15" s="43" t="inlineStr">
        <is>
          <t>9 - 42</t>
        </is>
      </c>
      <c r="S15" s="43" t="inlineStr">
        <is>
          <t>91.9 - 72.4</t>
        </is>
      </c>
      <c r="T15" s="8" t="inlineStr">
        <is>
          <t>PEROTAC - Bơm trục ngang CM.pdf, tr.3 (hãng khác: AQUARIS, REDPUMP)</t>
        </is>
      </c>
      <c r="U15" s="8" t="inlineStr">
        <is>
          <t>Thông số AQUARIS khác PEROTAC (xem cột riêng)</t>
        </is>
      </c>
    </row>
    <row r="16" ht="18" customHeight="1" s="1">
      <c r="A16" s="14" t="n">
        <v>20</v>
      </c>
      <c r="B16" s="14" t="inlineStr">
        <is>
          <t>CM40-250/18.5</t>
        </is>
      </c>
      <c r="C16" s="14" t="n">
        <v>18.5</v>
      </c>
      <c r="D16" s="14" t="inlineStr">
        <is>
          <t>65/40</t>
        </is>
      </c>
      <c r="E16" s="43" t="inlineStr">
        <is>
          <t>0 - 48</t>
        </is>
      </c>
      <c r="F16" s="14" t="inlineStr">
        <is>
          <t>90 - 66.5</t>
        </is>
      </c>
      <c r="G16" s="9" t="n">
        <v>18400000</v>
      </c>
      <c r="H16" s="10" t="n">
        <v>21300000</v>
      </c>
      <c r="I16" s="19" t="n">
        <v>31950000</v>
      </c>
      <c r="J16" s="15" t="n">
        <v>14200000</v>
      </c>
      <c r="K16" s="20" t="n"/>
      <c r="L16" s="20" t="n"/>
      <c r="M16" s="14" t="inlineStr">
        <is>
          <t>Có</t>
        </is>
      </c>
      <c r="N16" s="14" t="inlineStr">
        <is>
          <t>Có</t>
        </is>
      </c>
      <c r="O16" s="44" t="inlineStr">
        <is>
          <t>Không có</t>
        </is>
      </c>
      <c r="P16" s="14" t="inlineStr">
        <is>
          <t>Không có</t>
        </is>
      </c>
      <c r="Q16" s="14" t="inlineStr">
        <is>
          <t>Không có</t>
        </is>
      </c>
      <c r="R16" s="14" t="inlineStr">
        <is>
          <t>Không có</t>
        </is>
      </c>
      <c r="S16" s="14" t="inlineStr">
        <is>
          <t>Không có</t>
        </is>
      </c>
      <c r="T16" s="14" t="inlineStr">
        <is>
          <t>PEROTAC - Bơm trục ngang CM.pdf, tr.3 (hãng khác: REDPUMP)</t>
        </is>
      </c>
      <c r="U16" s="14" t="inlineStr">
        <is>
          <t>Có giá AQUARIS nhưng catalogue AQUARIS không có mã này</t>
        </is>
      </c>
    </row>
    <row r="17" ht="18" customHeight="1" s="1">
      <c r="A17" s="8" t="n">
        <v>23</v>
      </c>
      <c r="B17" s="8" t="inlineStr">
        <is>
          <t>CM50-125/4.0</t>
        </is>
      </c>
      <c r="C17" s="8" t="n">
        <v>4</v>
      </c>
      <c r="D17" s="8" t="inlineStr">
        <is>
          <t>65/50</t>
        </is>
      </c>
      <c r="E17" s="43" t="inlineStr">
        <is>
          <t>0 - 84</t>
        </is>
      </c>
      <c r="F17" s="8" t="inlineStr">
        <is>
          <t>24 - 11.8</t>
        </is>
      </c>
      <c r="G17" s="9" t="n">
        <v>7400000</v>
      </c>
      <c r="H17" s="10" t="n">
        <v>8600000</v>
      </c>
      <c r="I17" s="19" t="n">
        <v>11250000</v>
      </c>
      <c r="J17" s="12" t="n">
        <v>5900000</v>
      </c>
      <c r="K17" s="20" t="n"/>
      <c r="L17" s="20" t="n"/>
      <c r="M17" s="8" t="inlineStr">
        <is>
          <t>Có</t>
        </is>
      </c>
      <c r="N17" s="8" t="inlineStr">
        <is>
          <t>Có</t>
        </is>
      </c>
      <c r="O17" s="8" t="inlineStr">
        <is>
          <t>Có</t>
        </is>
      </c>
      <c r="P17" s="8" t="n">
        <v>4</v>
      </c>
      <c r="Q17" s="8" t="inlineStr">
        <is>
          <t>65/50</t>
        </is>
      </c>
      <c r="R17" s="43" t="inlineStr">
        <is>
          <t>30 - 60</t>
        </is>
      </c>
      <c r="S17" s="43" t="inlineStr">
        <is>
          <t>23.5 - 17</t>
        </is>
      </c>
      <c r="T17" s="8" t="inlineStr">
        <is>
          <t>PEROTAC - Bơm trục ngang CM.pdf, tr.4 (hãng khác: AQUARIS, REDPUMP)</t>
        </is>
      </c>
      <c r="U17" s="8" t="inlineStr">
        <is>
          <t>Thông số AQUARIS khác PEROTAC (xem cột riêng)</t>
        </is>
      </c>
    </row>
    <row r="18" ht="18" customHeight="1" s="1">
      <c r="A18" s="14" t="n">
        <v>24</v>
      </c>
      <c r="B18" s="14" t="inlineStr">
        <is>
          <t>CM50-160/5.5</t>
        </is>
      </c>
      <c r="C18" s="14" t="n">
        <v>5.5</v>
      </c>
      <c r="D18" s="14" t="inlineStr">
        <is>
          <t>65/50</t>
        </is>
      </c>
      <c r="E18" s="43" t="inlineStr">
        <is>
          <t>0 - 84</t>
        </is>
      </c>
      <c r="F18" s="14" t="inlineStr">
        <is>
          <t>32 - 14.8</t>
        </is>
      </c>
      <c r="G18" s="9" t="n">
        <v>9500000</v>
      </c>
      <c r="H18" s="10" t="n">
        <v>11000000</v>
      </c>
      <c r="I18" s="19" t="n">
        <v>17280000</v>
      </c>
      <c r="J18" s="20" t="n">
        <v>7200000</v>
      </c>
      <c r="K18" s="15" t="n">
        <v>7320000</v>
      </c>
      <c r="L18" s="15" t="n">
        <v>7000000</v>
      </c>
      <c r="M18" s="14" t="inlineStr">
        <is>
          <t>Có</t>
        </is>
      </c>
      <c r="N18" s="14" t="inlineStr">
        <is>
          <t>Có</t>
        </is>
      </c>
      <c r="O18" s="14" t="inlineStr">
        <is>
          <t>Có</t>
        </is>
      </c>
      <c r="P18" s="14" t="n">
        <v>5.5</v>
      </c>
      <c r="Q18" s="14" t="inlineStr">
        <is>
          <t>65/50</t>
        </is>
      </c>
      <c r="R18" s="43" t="inlineStr">
        <is>
          <t>21 - 78</t>
        </is>
      </c>
      <c r="S18" s="43" t="inlineStr">
        <is>
          <t>31 - 17</t>
        </is>
      </c>
      <c r="T18" s="14" t="inlineStr">
        <is>
          <t>PEROTAC - Bơm trục ngang CM.pdf, tr.4 (hãng khác: AQUARIS, REDPUMP)</t>
        </is>
      </c>
      <c r="U18" s="14" t="inlineStr">
        <is>
          <t>Thông số AQUARIS khác PEROTAC (xem cột riêng)</t>
        </is>
      </c>
    </row>
    <row r="19" ht="18" customHeight="1" s="1">
      <c r="A19" s="8" t="n">
        <v>25</v>
      </c>
      <c r="B19" s="8" t="inlineStr">
        <is>
          <t>CM50-160/7.5</t>
        </is>
      </c>
      <c r="C19" s="8" t="n">
        <v>7.5</v>
      </c>
      <c r="D19" s="8" t="inlineStr">
        <is>
          <t>65/50</t>
        </is>
      </c>
      <c r="E19" s="43" t="inlineStr">
        <is>
          <t>0 - 90</t>
        </is>
      </c>
      <c r="F19" s="8" t="inlineStr">
        <is>
          <t>40 - 21</t>
        </is>
      </c>
      <c r="G19" s="9" t="n">
        <v>9700000</v>
      </c>
      <c r="H19" s="10" t="n">
        <v>11300000</v>
      </c>
      <c r="I19" s="19" t="n">
        <v>18000000</v>
      </c>
      <c r="J19" s="12" t="n">
        <v>8600000</v>
      </c>
      <c r="K19" s="20" t="n">
        <v>7520000</v>
      </c>
      <c r="L19" s="20" t="n">
        <v>7200000</v>
      </c>
      <c r="M19" s="8" t="inlineStr">
        <is>
          <t>Có</t>
        </is>
      </c>
      <c r="N19" s="8" t="inlineStr">
        <is>
          <t>Có</t>
        </is>
      </c>
      <c r="O19" s="8" t="inlineStr">
        <is>
          <t>Có</t>
        </is>
      </c>
      <c r="P19" s="8" t="n">
        <v>7.5</v>
      </c>
      <c r="Q19" s="8" t="inlineStr">
        <is>
          <t>65/50</t>
        </is>
      </c>
      <c r="R19" s="43" t="inlineStr">
        <is>
          <t>21 - 78</t>
        </is>
      </c>
      <c r="S19" s="43" t="inlineStr">
        <is>
          <t>37.5 - 24</t>
        </is>
      </c>
      <c r="T19" s="8" t="inlineStr">
        <is>
          <t>PEROTAC - Bơm trục ngang CM.pdf, tr.4 (hãng khác: AQUARIS, REDPUMP)</t>
        </is>
      </c>
      <c r="U19" s="8" t="inlineStr">
        <is>
          <t>Thông số AQUARIS khác PEROTAC (xem cột riêng)</t>
        </is>
      </c>
    </row>
    <row r="20" ht="18" customHeight="1" s="1">
      <c r="A20" s="14" t="n">
        <v>26</v>
      </c>
      <c r="B20" s="14" t="inlineStr">
        <is>
          <t>CM50-200/9.2</t>
        </is>
      </c>
      <c r="C20" s="14" t="n">
        <v>9.199999999999999</v>
      </c>
      <c r="D20" s="14" t="inlineStr">
        <is>
          <t>65/50</t>
        </is>
      </c>
      <c r="E20" s="43" t="inlineStr">
        <is>
          <t>0 - 84</t>
        </is>
      </c>
      <c r="F20" s="14" t="inlineStr">
        <is>
          <t>50.5 - 26.7</t>
        </is>
      </c>
      <c r="G20" s="9" t="n">
        <v>12000000</v>
      </c>
      <c r="H20" s="10" t="n">
        <v>14000000</v>
      </c>
      <c r="I20" s="19" t="n">
        <v>22200000</v>
      </c>
      <c r="J20" s="14" t="n"/>
      <c r="K20" s="14" t="n"/>
      <c r="L20" s="14" t="n"/>
      <c r="M20" s="14" t="inlineStr">
        <is>
          <t>Có</t>
        </is>
      </c>
      <c r="N20" s="14" t="inlineStr">
        <is>
          <t>Có</t>
        </is>
      </c>
      <c r="O20" s="14" t="inlineStr">
        <is>
          <t>Có</t>
        </is>
      </c>
      <c r="P20" s="14" t="n">
        <v>9.199999999999999</v>
      </c>
      <c r="Q20" s="14" t="inlineStr">
        <is>
          <t>65/50</t>
        </is>
      </c>
      <c r="R20" s="43" t="inlineStr">
        <is>
          <t>24 - 72</t>
        </is>
      </c>
      <c r="S20" s="43" t="inlineStr">
        <is>
          <t>46 - 27.5</t>
        </is>
      </c>
      <c r="T20" s="14" t="inlineStr">
        <is>
          <t>PEROTAC - Bơm trục ngang CM.pdf, tr.4 (hãng khác: AQUARIS, REDPUMP)</t>
        </is>
      </c>
      <c r="U20" s="14" t="inlineStr">
        <is>
          <t>Thông số AQUARIS khác PEROTAC (xem cột riêng)</t>
        </is>
      </c>
    </row>
    <row r="21" ht="18" customHeight="1" s="1">
      <c r="A21" s="8" t="n">
        <v>27</v>
      </c>
      <c r="B21" s="8" t="inlineStr">
        <is>
          <t>CM50-200/11</t>
        </is>
      </c>
      <c r="C21" s="8" t="n">
        <v>11</v>
      </c>
      <c r="D21" s="8" t="inlineStr">
        <is>
          <t>65/50</t>
        </is>
      </c>
      <c r="E21" s="43" t="inlineStr">
        <is>
          <t>0 - 90</t>
        </is>
      </c>
      <c r="F21" s="8" t="inlineStr">
        <is>
          <t>57.5 - 29</t>
        </is>
      </c>
      <c r="G21" s="9" t="n">
        <v>14000000</v>
      </c>
      <c r="H21" s="10" t="n">
        <v>16200000</v>
      </c>
      <c r="I21" s="19" t="n">
        <v>25200000</v>
      </c>
      <c r="J21" s="12" t="n">
        <v>11000000</v>
      </c>
      <c r="K21" s="20" t="n">
        <v>10640000</v>
      </c>
      <c r="L21" s="20" t="n">
        <v>10650000</v>
      </c>
      <c r="M21" s="8" t="inlineStr">
        <is>
          <t>Có</t>
        </is>
      </c>
      <c r="N21" s="8" t="inlineStr">
        <is>
          <t>Có</t>
        </is>
      </c>
      <c r="O21" s="8" t="inlineStr">
        <is>
          <t>Có</t>
        </is>
      </c>
      <c r="P21" s="8" t="n">
        <v>11</v>
      </c>
      <c r="Q21" s="8" t="inlineStr">
        <is>
          <t>65/50</t>
        </is>
      </c>
      <c r="R21" s="43" t="inlineStr">
        <is>
          <t>24 - 72</t>
        </is>
      </c>
      <c r="S21" s="43" t="inlineStr">
        <is>
          <t>50.5 - 31</t>
        </is>
      </c>
      <c r="T21" s="8" t="inlineStr">
        <is>
          <t>PEROTAC - Bơm trục ngang CM.pdf, tr.4 (hãng khác: AQUARIS, REDPUMP)</t>
        </is>
      </c>
      <c r="U21" s="8" t="inlineStr">
        <is>
          <t>Thông số AQUARIS khác PEROTAC (xem cột riêng)</t>
        </is>
      </c>
    </row>
    <row r="22" ht="18" customHeight="1" s="1">
      <c r="A22" s="14" t="n">
        <v>28</v>
      </c>
      <c r="B22" s="14" t="inlineStr">
        <is>
          <t>CM50-200/15</t>
        </is>
      </c>
      <c r="C22" s="14" t="n">
        <v>15</v>
      </c>
      <c r="D22" s="14" t="inlineStr">
        <is>
          <t>65/50</t>
        </is>
      </c>
      <c r="E22" s="43" t="inlineStr">
        <is>
          <t>0 - 90</t>
        </is>
      </c>
      <c r="F22" s="14" t="inlineStr">
        <is>
          <t>62 - 35.5</t>
        </is>
      </c>
      <c r="G22" s="9" t="n">
        <v>15900000</v>
      </c>
      <c r="H22" s="10" t="n">
        <v>18400000</v>
      </c>
      <c r="I22" s="19" t="n">
        <v>28800000</v>
      </c>
      <c r="J22" s="15" t="n">
        <v>12700000</v>
      </c>
      <c r="K22" s="20" t="n">
        <v>12704000</v>
      </c>
      <c r="L22" s="20" t="n">
        <v>12300000</v>
      </c>
      <c r="M22" s="14" t="inlineStr">
        <is>
          <t>Có</t>
        </is>
      </c>
      <c r="N22" s="14" t="inlineStr">
        <is>
          <t>Có</t>
        </is>
      </c>
      <c r="O22" s="14" t="inlineStr">
        <is>
          <t>Có</t>
        </is>
      </c>
      <c r="P22" s="14" t="n">
        <v>15</v>
      </c>
      <c r="Q22" s="14" t="inlineStr">
        <is>
          <t>65/50</t>
        </is>
      </c>
      <c r="R22" s="43" t="inlineStr">
        <is>
          <t>24 - 78</t>
        </is>
      </c>
      <c r="S22" s="43" t="inlineStr">
        <is>
          <t>58.5 - 39</t>
        </is>
      </c>
      <c r="T22" s="14" t="inlineStr">
        <is>
          <t>PEROTAC - Bơm trục ngang CM.pdf, tr.4 (hãng khác: AQUARIS, REDPUMP)</t>
        </is>
      </c>
      <c r="U22" s="14" t="inlineStr">
        <is>
          <t>Thông số AQUARIS khác PEROTAC (xem cột riêng)</t>
        </is>
      </c>
    </row>
    <row r="23" ht="18" customHeight="1" s="1">
      <c r="A23" s="14" t="n">
        <v>30</v>
      </c>
      <c r="B23" s="14" t="inlineStr">
        <is>
          <t>CM50-250/18.5</t>
        </is>
      </c>
      <c r="C23" s="14" t="n">
        <v>18.5</v>
      </c>
      <c r="D23" s="14" t="inlineStr">
        <is>
          <t>65/50</t>
        </is>
      </c>
      <c r="E23" s="43" t="inlineStr">
        <is>
          <t>0 - 90</t>
        </is>
      </c>
      <c r="F23" s="14" t="inlineStr">
        <is>
          <t>79 - 47</t>
        </is>
      </c>
      <c r="G23" s="9" t="n">
        <v>18400000</v>
      </c>
      <c r="H23" s="10" t="n">
        <v>21300000</v>
      </c>
      <c r="I23" s="19" t="n">
        <v>31950000</v>
      </c>
      <c r="J23" s="15" t="n">
        <v>14200000</v>
      </c>
      <c r="K23" s="20" t="n">
        <v>14704000</v>
      </c>
      <c r="L23" s="20" t="n">
        <v>14000000</v>
      </c>
      <c r="M23" s="14" t="inlineStr">
        <is>
          <t>Có</t>
        </is>
      </c>
      <c r="N23" s="14" t="inlineStr">
        <is>
          <t>Có</t>
        </is>
      </c>
      <c r="O23" s="14" t="inlineStr">
        <is>
          <t>Có</t>
        </is>
      </c>
      <c r="P23" s="14" t="n">
        <v>18.5</v>
      </c>
      <c r="Q23" s="14" t="inlineStr">
        <is>
          <t>65/50</t>
        </is>
      </c>
      <c r="R23" s="43" t="inlineStr">
        <is>
          <t>27 - 78</t>
        </is>
      </c>
      <c r="S23" s="43" t="inlineStr">
        <is>
          <t>78.5 - 60</t>
        </is>
      </c>
      <c r="T23" s="14" t="inlineStr">
        <is>
          <t>PEROTAC - Bơm trục ngang CM.pdf, tr.4 (hãng khác: AQUARIS, REDPUMP)</t>
        </is>
      </c>
      <c r="U23" s="14" t="inlineStr">
        <is>
          <t>Thông số AQUARIS khác PEROTAC (xem cột riêng)</t>
        </is>
      </c>
    </row>
    <row r="24" ht="18" customHeight="1" s="1">
      <c r="A24" s="8" t="n">
        <v>31</v>
      </c>
      <c r="B24" s="8" t="inlineStr">
        <is>
          <t>CM50-250/22</t>
        </is>
      </c>
      <c r="C24" s="8" t="n">
        <v>22</v>
      </c>
      <c r="D24" s="8" t="inlineStr">
        <is>
          <t>65/50</t>
        </is>
      </c>
      <c r="E24" s="43" t="inlineStr">
        <is>
          <t>0 - 90</t>
        </is>
      </c>
      <c r="F24" s="8" t="inlineStr">
        <is>
          <t>89.5 - 57</t>
        </is>
      </c>
      <c r="G24" s="9" t="n">
        <v>23300000</v>
      </c>
      <c r="H24" s="10" t="n">
        <v>27000000</v>
      </c>
      <c r="I24" s="19" t="n">
        <v>40500000</v>
      </c>
      <c r="J24" s="12" t="n">
        <v>18400000</v>
      </c>
      <c r="K24" s="20" t="n">
        <v>17720000</v>
      </c>
      <c r="L24" s="20" t="n">
        <v>17750000</v>
      </c>
      <c r="M24" s="8" t="inlineStr">
        <is>
          <t>Có</t>
        </is>
      </c>
      <c r="N24" s="8" t="inlineStr">
        <is>
          <t>Có</t>
        </is>
      </c>
      <c r="O24" s="8" t="inlineStr">
        <is>
          <t>Có</t>
        </is>
      </c>
      <c r="P24" s="8" t="n">
        <v>22</v>
      </c>
      <c r="Q24" s="8" t="inlineStr">
        <is>
          <t>65/50</t>
        </is>
      </c>
      <c r="R24" s="43" t="inlineStr">
        <is>
          <t>27 - 78</t>
        </is>
      </c>
      <c r="S24" s="43" t="inlineStr">
        <is>
          <t>93 - 75</t>
        </is>
      </c>
      <c r="T24" s="8" t="inlineStr">
        <is>
          <t>PEROTAC - Bơm trục ngang CM.pdf, tr.4 (hãng khác: AQUARIS, REDPUMP)</t>
        </is>
      </c>
      <c r="U24" s="8" t="inlineStr">
        <is>
          <t>Thông số AQUARIS khác PEROTAC (xem cột riêng)</t>
        </is>
      </c>
    </row>
    <row r="25" ht="18" customHeight="1" s="1">
      <c r="A25" s="8" t="n">
        <v>33</v>
      </c>
      <c r="B25" s="8" t="inlineStr">
        <is>
          <t>CM65-125/5.5</t>
        </is>
      </c>
      <c r="C25" s="8" t="n">
        <v>5.5</v>
      </c>
      <c r="D25" s="8" t="inlineStr">
        <is>
          <t>80/65</t>
        </is>
      </c>
      <c r="E25" s="43" t="inlineStr">
        <is>
          <t>0 - 108</t>
        </is>
      </c>
      <c r="F25" s="8" t="inlineStr">
        <is>
          <t>23 - 13.7</t>
        </is>
      </c>
      <c r="G25" s="9" t="n">
        <v>9500000</v>
      </c>
      <c r="H25" s="10" t="n">
        <v>11000000</v>
      </c>
      <c r="I25" s="19" t="n">
        <v>17280000</v>
      </c>
      <c r="J25" s="20" t="n">
        <v>7200000</v>
      </c>
      <c r="K25" s="12" t="n">
        <v>7464000</v>
      </c>
      <c r="L25" s="12" t="n">
        <v>7000000</v>
      </c>
      <c r="M25" s="8" t="inlineStr">
        <is>
          <t>Có</t>
        </is>
      </c>
      <c r="N25" s="8" t="inlineStr">
        <is>
          <t>Có</t>
        </is>
      </c>
      <c r="O25" s="8" t="inlineStr">
        <is>
          <t>Có</t>
        </is>
      </c>
      <c r="P25" s="8" t="n">
        <v>5.5</v>
      </c>
      <c r="Q25" s="8" t="inlineStr">
        <is>
          <t>80/65</t>
        </is>
      </c>
      <c r="R25" s="43" t="inlineStr">
        <is>
          <t>30 - 120</t>
        </is>
      </c>
      <c r="S25" s="43" t="inlineStr">
        <is>
          <t>21.5 - 12</t>
        </is>
      </c>
      <c r="T25" s="8" t="inlineStr">
        <is>
          <t>PEROTAC - Bơm trục ngang CM.pdf, tr.5 (hãng khác: AQUARIS, REDPUMP)</t>
        </is>
      </c>
      <c r="U25" s="8" t="inlineStr">
        <is>
          <t>Thông số AQUARIS khác PEROTAC (xem cột riêng)</t>
        </is>
      </c>
    </row>
    <row r="26" ht="18" customHeight="1" s="1">
      <c r="A26" s="14" t="n">
        <v>34</v>
      </c>
      <c r="B26" s="14" t="inlineStr">
        <is>
          <t>CM65-125/7.5</t>
        </is>
      </c>
      <c r="C26" s="14" t="n">
        <v>7.5</v>
      </c>
      <c r="D26" s="14" t="inlineStr">
        <is>
          <t>80/65</t>
        </is>
      </c>
      <c r="E26" s="43" t="inlineStr">
        <is>
          <t>0 - 120</t>
        </is>
      </c>
      <c r="F26" s="14" t="inlineStr">
        <is>
          <t>27 - 18</t>
        </is>
      </c>
      <c r="G26" s="9" t="n">
        <v>9700000</v>
      </c>
      <c r="H26" s="10" t="n">
        <v>11300000</v>
      </c>
      <c r="I26" s="19" t="n">
        <v>18000000</v>
      </c>
      <c r="J26" s="15" t="n">
        <v>8600000</v>
      </c>
      <c r="K26" s="20" t="n">
        <v>7664000</v>
      </c>
      <c r="L26" s="20" t="n">
        <v>7200000</v>
      </c>
      <c r="M26" s="14" t="inlineStr">
        <is>
          <t>Có</t>
        </is>
      </c>
      <c r="N26" s="14" t="inlineStr">
        <is>
          <t>Có</t>
        </is>
      </c>
      <c r="O26" s="14" t="inlineStr">
        <is>
          <t>Có</t>
        </is>
      </c>
      <c r="P26" s="14" t="n">
        <v>7.5</v>
      </c>
      <c r="Q26" s="14" t="inlineStr">
        <is>
          <t>80/65</t>
        </is>
      </c>
      <c r="R26" s="43" t="inlineStr">
        <is>
          <t>30 - 132</t>
        </is>
      </c>
      <c r="S26" s="43" t="inlineStr">
        <is>
          <t>24.6 - 15</t>
        </is>
      </c>
      <c r="T26" s="14" t="inlineStr">
        <is>
          <t>PEROTAC - Bơm trục ngang CM.pdf, tr.5 (hãng khác: AQUARIS, REDPUMP)</t>
        </is>
      </c>
      <c r="U26" s="14" t="inlineStr">
        <is>
          <t>Thông số AQUARIS khác PEROTAC (xem cột riêng)</t>
        </is>
      </c>
    </row>
    <row r="27" ht="18" customHeight="1" s="1">
      <c r="A27" s="8" t="n">
        <v>35</v>
      </c>
      <c r="B27" s="8" t="inlineStr">
        <is>
          <t>CM65-160/9.2</t>
        </is>
      </c>
      <c r="C27" s="8" t="n">
        <v>9.199999999999999</v>
      </c>
      <c r="D27" s="8" t="inlineStr">
        <is>
          <t>80/65</t>
        </is>
      </c>
      <c r="E27" s="43" t="inlineStr">
        <is>
          <t>0 - 120</t>
        </is>
      </c>
      <c r="F27" s="8" t="inlineStr">
        <is>
          <t>33 - 21.5</t>
        </is>
      </c>
      <c r="G27" s="9" t="n">
        <v>12000000</v>
      </c>
      <c r="H27" s="10" t="n">
        <v>14000000</v>
      </c>
      <c r="I27" s="19" t="n">
        <v>22200000</v>
      </c>
      <c r="J27" s="8" t="n"/>
      <c r="K27" s="8" t="n"/>
      <c r="L27" s="8" t="n"/>
      <c r="M27" s="8" t="inlineStr">
        <is>
          <t>Có</t>
        </is>
      </c>
      <c r="N27" s="8" t="inlineStr">
        <is>
          <t>Có</t>
        </is>
      </c>
      <c r="O27" s="8" t="inlineStr">
        <is>
          <t>Có</t>
        </is>
      </c>
      <c r="P27" s="8" t="n">
        <v>9.199999999999999</v>
      </c>
      <c r="Q27" s="8" t="inlineStr">
        <is>
          <t>80/65</t>
        </is>
      </c>
      <c r="R27" s="43" t="inlineStr">
        <is>
          <t>42 - 144</t>
        </is>
      </c>
      <c r="S27" s="43" t="inlineStr">
        <is>
          <t>31 - 16</t>
        </is>
      </c>
      <c r="T27" s="8" t="inlineStr">
        <is>
          <t>PEROTAC - Bơm trục ngang CM.pdf, tr.5 (hãng khác: AQUARIS, REDPUMP)</t>
        </is>
      </c>
      <c r="U27" s="8" t="inlineStr">
        <is>
          <t>Thông số AQUARIS khác PEROTAC (xem cột riêng)</t>
        </is>
      </c>
    </row>
    <row r="28" ht="18" customHeight="1" s="1">
      <c r="A28" s="14" t="n">
        <v>36</v>
      </c>
      <c r="B28" s="14" t="inlineStr">
        <is>
          <t>CM65-160/11</t>
        </is>
      </c>
      <c r="C28" s="14" t="n">
        <v>11</v>
      </c>
      <c r="D28" s="14" t="inlineStr">
        <is>
          <t>80/65</t>
        </is>
      </c>
      <c r="E28" s="43" t="inlineStr">
        <is>
          <t>0 - 120</t>
        </is>
      </c>
      <c r="F28" s="14" t="inlineStr">
        <is>
          <t>36 - 25.5</t>
        </is>
      </c>
      <c r="G28" s="9" t="n">
        <v>14000000</v>
      </c>
      <c r="H28" s="10" t="n">
        <v>16200000</v>
      </c>
      <c r="I28" s="19" t="n">
        <v>25200000</v>
      </c>
      <c r="J28" s="15" t="n">
        <v>11000000</v>
      </c>
      <c r="K28" s="20" t="n">
        <v>10640000</v>
      </c>
      <c r="L28" s="20" t="n">
        <v>10650000</v>
      </c>
      <c r="M28" s="14" t="inlineStr">
        <is>
          <t>Có</t>
        </is>
      </c>
      <c r="N28" s="14" t="inlineStr">
        <is>
          <t>Có</t>
        </is>
      </c>
      <c r="O28" s="14" t="inlineStr">
        <is>
          <t>Có</t>
        </is>
      </c>
      <c r="P28" s="14" t="n">
        <v>11</v>
      </c>
      <c r="Q28" s="14" t="inlineStr">
        <is>
          <t>80/65</t>
        </is>
      </c>
      <c r="R28" s="43" t="inlineStr">
        <is>
          <t>42 - 144</t>
        </is>
      </c>
      <c r="S28" s="43" t="inlineStr">
        <is>
          <t>34.5 - 21</t>
        </is>
      </c>
      <c r="T28" s="14" t="inlineStr">
        <is>
          <t>PEROTAC - Bơm trục ngang CM.pdf, tr.5 (hãng khác: AQUARIS, REDPUMP)</t>
        </is>
      </c>
      <c r="U28" s="14" t="inlineStr">
        <is>
          <t>Thông số AQUARIS khác PEROTAC (xem cột riêng)</t>
        </is>
      </c>
    </row>
    <row r="29" ht="18" customHeight="1" s="1">
      <c r="A29" s="8" t="n">
        <v>37</v>
      </c>
      <c r="B29" s="8" t="inlineStr">
        <is>
          <t>CM65-160/15</t>
        </is>
      </c>
      <c r="C29" s="8" t="n">
        <v>15</v>
      </c>
      <c r="D29" s="8" t="inlineStr">
        <is>
          <t>80/65</t>
        </is>
      </c>
      <c r="E29" s="43" t="inlineStr">
        <is>
          <t>0 - 138</t>
        </is>
      </c>
      <c r="F29" s="8" t="inlineStr">
        <is>
          <t>42 - 29.5</t>
        </is>
      </c>
      <c r="G29" s="9" t="n">
        <v>15900000</v>
      </c>
      <c r="H29" s="10" t="n">
        <v>18400000</v>
      </c>
      <c r="I29" s="19" t="n">
        <v>28800000</v>
      </c>
      <c r="J29" s="12" t="n">
        <v>12700000</v>
      </c>
      <c r="K29" s="20" t="n">
        <v>12704000</v>
      </c>
      <c r="L29" s="20" t="n">
        <v>12300000</v>
      </c>
      <c r="M29" s="8" t="inlineStr">
        <is>
          <t>Có</t>
        </is>
      </c>
      <c r="N29" s="8" t="inlineStr">
        <is>
          <t>Có</t>
        </is>
      </c>
      <c r="O29" s="8" t="inlineStr">
        <is>
          <t>Có</t>
        </is>
      </c>
      <c r="P29" s="8" t="n">
        <v>15</v>
      </c>
      <c r="Q29" s="8" t="inlineStr">
        <is>
          <t>80/65</t>
        </is>
      </c>
      <c r="R29" s="43" t="inlineStr">
        <is>
          <t>42 - 144</t>
        </is>
      </c>
      <c r="S29" s="43" t="inlineStr">
        <is>
          <t>41 - 30</t>
        </is>
      </c>
      <c r="T29" s="8" t="inlineStr">
        <is>
          <t>PEROTAC - Bơm trục ngang CM.pdf, tr.5 (hãng khác: AQUARIS, REDPUMP)</t>
        </is>
      </c>
      <c r="U29" s="8" t="inlineStr">
        <is>
          <t>Thông số AQUARIS khác PEROTAC (xem cột riêng)</t>
        </is>
      </c>
    </row>
    <row r="30" ht="18" customHeight="1" s="1">
      <c r="A30" s="8" t="n">
        <v>39</v>
      </c>
      <c r="B30" s="8" t="inlineStr">
        <is>
          <t>CM65-200/18.5</t>
        </is>
      </c>
      <c r="C30" s="8" t="n">
        <v>18.5</v>
      </c>
      <c r="D30" s="8" t="inlineStr">
        <is>
          <t>80/65</t>
        </is>
      </c>
      <c r="E30" s="43" t="inlineStr">
        <is>
          <t>0 - 120</t>
        </is>
      </c>
      <c r="F30" s="8" t="inlineStr">
        <is>
          <t>52 - 42</t>
        </is>
      </c>
      <c r="G30" s="9" t="n">
        <v>18400000</v>
      </c>
      <c r="H30" s="10" t="n">
        <v>21300000</v>
      </c>
      <c r="I30" s="19" t="n">
        <v>31950000</v>
      </c>
      <c r="J30" s="12" t="n">
        <v>14200000</v>
      </c>
      <c r="K30" s="20" t="n">
        <v>15040000</v>
      </c>
      <c r="L30" s="20" t="n">
        <v>14350000</v>
      </c>
      <c r="M30" s="8" t="inlineStr">
        <is>
          <t>Có</t>
        </is>
      </c>
      <c r="N30" s="8" t="inlineStr">
        <is>
          <t>Có</t>
        </is>
      </c>
      <c r="O30" s="8" t="inlineStr">
        <is>
          <t>Có</t>
        </is>
      </c>
      <c r="P30" s="8" t="n">
        <v>18.5</v>
      </c>
      <c r="Q30" s="8" t="inlineStr">
        <is>
          <t>80/65</t>
        </is>
      </c>
      <c r="R30" s="43" t="inlineStr">
        <is>
          <t>54 - 132</t>
        </is>
      </c>
      <c r="S30" s="43" t="inlineStr">
        <is>
          <t>49.5 - 37</t>
        </is>
      </c>
      <c r="T30" s="8" t="inlineStr">
        <is>
          <t>PEROTAC - Bơm trục ngang CM.pdf, tr.5 (hãng khác: AQUARIS, REDPUMP)</t>
        </is>
      </c>
      <c r="U30" s="8" t="inlineStr">
        <is>
          <t>Thông số AQUARIS khác PEROTAC (xem cột riêng)</t>
        </is>
      </c>
    </row>
    <row r="31" ht="18" customHeight="1" s="1">
      <c r="A31" s="14" t="n">
        <v>40</v>
      </c>
      <c r="B31" s="14" t="inlineStr">
        <is>
          <t>CM65-200/22</t>
        </is>
      </c>
      <c r="C31" s="14" t="n">
        <v>22</v>
      </c>
      <c r="D31" s="14" t="inlineStr">
        <is>
          <t>80/65</t>
        </is>
      </c>
      <c r="E31" s="43" t="inlineStr">
        <is>
          <t>0 - 138</t>
        </is>
      </c>
      <c r="F31" s="14" t="inlineStr">
        <is>
          <t>59 - 44.5</t>
        </is>
      </c>
      <c r="G31" s="9" t="n">
        <v>23300000</v>
      </c>
      <c r="H31" s="10" t="n">
        <v>27000000</v>
      </c>
      <c r="I31" s="19" t="n">
        <v>40500000</v>
      </c>
      <c r="J31" s="15" t="n">
        <v>18400000</v>
      </c>
      <c r="K31" s="20" t="n">
        <v>17720000</v>
      </c>
      <c r="L31" s="20" t="n">
        <v>17750000</v>
      </c>
      <c r="M31" s="14" t="inlineStr">
        <is>
          <t>Có</t>
        </is>
      </c>
      <c r="N31" s="14" t="inlineStr">
        <is>
          <t>Có</t>
        </is>
      </c>
      <c r="O31" s="14" t="inlineStr">
        <is>
          <t>Có</t>
        </is>
      </c>
      <c r="P31" s="14" t="n">
        <v>22</v>
      </c>
      <c r="Q31" s="14" t="inlineStr">
        <is>
          <t>80/65</t>
        </is>
      </c>
      <c r="R31" s="43" t="inlineStr">
        <is>
          <t>54 - 144</t>
        </is>
      </c>
      <c r="S31" s="43" t="inlineStr">
        <is>
          <t>56.5 - 43</t>
        </is>
      </c>
      <c r="T31" s="14" t="inlineStr">
        <is>
          <t>PEROTAC - Bơm trục ngang CM.pdf, tr.5 (hãng khác: AQUARIS, REDPUMP)</t>
        </is>
      </c>
      <c r="U31" s="14" t="inlineStr">
        <is>
          <t>Thông số AQUARIS khác PEROTAC (xem cột riêng)</t>
        </is>
      </c>
    </row>
    <row r="32" ht="18" customHeight="1" s="1">
      <c r="A32" s="14" t="n">
        <v>42</v>
      </c>
      <c r="B32" s="14" t="inlineStr">
        <is>
          <t>CM65-250/30</t>
        </is>
      </c>
      <c r="C32" s="14" t="n">
        <v>30</v>
      </c>
      <c r="D32" s="14" t="inlineStr">
        <is>
          <t>80/65</t>
        </is>
      </c>
      <c r="E32" s="43" t="inlineStr">
        <is>
          <t>0 - 138</t>
        </is>
      </c>
      <c r="F32" s="14" t="inlineStr">
        <is>
          <t>80 - 58</t>
        </is>
      </c>
      <c r="G32" s="9" t="n">
        <v>31300000</v>
      </c>
      <c r="H32" s="10" t="n">
        <v>36300000</v>
      </c>
      <c r="I32" s="19" t="n">
        <v>70200000</v>
      </c>
      <c r="J32" s="15" t="n">
        <v>25200000</v>
      </c>
      <c r="K32" s="20" t="n">
        <v>25064000</v>
      </c>
      <c r="L32" s="20" t="n">
        <v>26000000</v>
      </c>
      <c r="M32" s="14" t="inlineStr">
        <is>
          <t>Có</t>
        </is>
      </c>
      <c r="N32" s="14" t="inlineStr">
        <is>
          <t>Có</t>
        </is>
      </c>
      <c r="O32" s="14" t="inlineStr">
        <is>
          <t>Có</t>
        </is>
      </c>
      <c r="P32" s="14" t="n">
        <v>30</v>
      </c>
      <c r="Q32" s="14" t="inlineStr">
        <is>
          <t>80/65</t>
        </is>
      </c>
      <c r="R32" s="43" t="inlineStr">
        <is>
          <t>54 - 144</t>
        </is>
      </c>
      <c r="S32" s="43" t="inlineStr">
        <is>
          <t>79.5 - 48.5</t>
        </is>
      </c>
      <c r="T32" s="14" t="inlineStr">
        <is>
          <t>PEROTAC - Bơm trục ngang CM.pdf, tr.5 (hãng khác: AQUARIS, REDPUMP)</t>
        </is>
      </c>
      <c r="U32" s="14" t="inlineStr">
        <is>
          <t>Thông số AQUARIS khác PEROTAC (xem cột riêng)</t>
        </is>
      </c>
    </row>
    <row r="33" ht="18" customHeight="1" s="1">
      <c r="A33" s="8" t="n">
        <v>43</v>
      </c>
      <c r="B33" s="8" t="inlineStr">
        <is>
          <t>CM65-250/37</t>
        </is>
      </c>
      <c r="C33" s="8" t="n">
        <v>37</v>
      </c>
      <c r="D33" s="8" t="inlineStr">
        <is>
          <t>80/65</t>
        </is>
      </c>
      <c r="E33" s="43" t="inlineStr">
        <is>
          <t>0 - 138</t>
        </is>
      </c>
      <c r="F33" s="8" t="inlineStr">
        <is>
          <t>92 - 68</t>
        </is>
      </c>
      <c r="G33" s="9" t="n">
        <v>33000000</v>
      </c>
      <c r="H33" s="10" t="n">
        <v>38300000</v>
      </c>
      <c r="I33" s="19" t="n">
        <v>73800000</v>
      </c>
      <c r="J33" s="12" t="n">
        <v>27825000</v>
      </c>
      <c r="K33" s="20" t="n">
        <v>26416000</v>
      </c>
      <c r="L33" s="20" t="n">
        <v>27000000</v>
      </c>
      <c r="M33" s="8" t="inlineStr">
        <is>
          <t>Có</t>
        </is>
      </c>
      <c r="N33" s="8" t="inlineStr">
        <is>
          <t>Có</t>
        </is>
      </c>
      <c r="O33" s="8" t="inlineStr">
        <is>
          <t>Có</t>
        </is>
      </c>
      <c r="P33" s="8" t="n">
        <v>37</v>
      </c>
      <c r="Q33" s="8" t="inlineStr">
        <is>
          <t>80/65</t>
        </is>
      </c>
      <c r="R33" s="43" t="inlineStr">
        <is>
          <t>54 - 156</t>
        </is>
      </c>
      <c r="S33" s="43" t="inlineStr">
        <is>
          <t>89.5 - 54</t>
        </is>
      </c>
      <c r="T33" s="8" t="inlineStr">
        <is>
          <t>PEROTAC - Bơm trục ngang CM.pdf, tr.5 (hãng khác: AQUARIS, REDPUMP)</t>
        </is>
      </c>
      <c r="U33" s="8" t="inlineStr">
        <is>
          <t>Thông số AQUARIS khác PEROTAC (xem cột riêng)</t>
        </is>
      </c>
    </row>
    <row r="34" ht="18" customHeight="1" s="1">
      <c r="A34" s="14" t="n">
        <v>44</v>
      </c>
      <c r="B34" s="14" t="inlineStr">
        <is>
          <t>CM65-315/45</t>
        </is>
      </c>
      <c r="C34" s="14" t="n">
        <v>45</v>
      </c>
      <c r="D34" s="14" t="inlineStr">
        <is>
          <t>80/65</t>
        </is>
      </c>
      <c r="E34" s="14" t="inlineStr">
        <is>
          <t>0 - 144</t>
        </is>
      </c>
      <c r="F34" s="14" t="inlineStr">
        <is>
          <t>102 - 83</t>
        </is>
      </c>
      <c r="G34" s="9" t="n">
        <v>38000000</v>
      </c>
      <c r="H34" s="10" t="n">
        <v>45000000</v>
      </c>
      <c r="I34" s="19" t="n">
        <v>90000000</v>
      </c>
      <c r="J34" s="14" t="n"/>
      <c r="K34" s="14" t="n"/>
      <c r="L34" s="14" t="n"/>
      <c r="M34" s="14" t="inlineStr">
        <is>
          <t>Có</t>
        </is>
      </c>
      <c r="N34" s="14" t="inlineStr">
        <is>
          <t>Có</t>
        </is>
      </c>
      <c r="O34" s="14" t="inlineStr">
        <is>
          <t>Có</t>
        </is>
      </c>
      <c r="P34" s="14" t="n">
        <v>45</v>
      </c>
      <c r="Q34" s="14" t="inlineStr">
        <is>
          <t>80/65</t>
        </is>
      </c>
      <c r="R34" s="14" t="inlineStr">
        <is>
          <t>0 - 144</t>
        </is>
      </c>
      <c r="S34" s="14" t="inlineStr">
        <is>
          <t>102 - 83</t>
        </is>
      </c>
      <c r="T34" s="14" t="inlineStr">
        <is>
          <t>PEROTAC - Bơm trục ngang CM.pdf, tr.6 (hãng khác: AQUARIS, REDPUMP)</t>
        </is>
      </c>
    </row>
    <row r="35" ht="18" customHeight="1" s="1">
      <c r="A35" s="14" t="n">
        <v>48</v>
      </c>
      <c r="B35" s="14" t="inlineStr">
        <is>
          <t>CM80-160/11</t>
        </is>
      </c>
      <c r="C35" s="14" t="n">
        <v>11</v>
      </c>
      <c r="D35" s="14" t="inlineStr">
        <is>
          <t>100/80</t>
        </is>
      </c>
      <c r="E35" s="14" t="inlineStr">
        <is>
          <t>0 - 180</t>
        </is>
      </c>
      <c r="F35" s="14" t="inlineStr">
        <is>
          <t>28 - 16</t>
        </is>
      </c>
      <c r="G35" s="9" t="n">
        <v>14000000</v>
      </c>
      <c r="H35" s="10" t="n">
        <v>16200000</v>
      </c>
      <c r="I35" s="19" t="n">
        <v>25200000</v>
      </c>
      <c r="J35" s="15" t="n">
        <v>11000000</v>
      </c>
      <c r="K35" s="20" t="n">
        <v>12448000</v>
      </c>
      <c r="L35" s="20" t="n">
        <v>12000000</v>
      </c>
      <c r="M35" s="14" t="inlineStr">
        <is>
          <t>Có</t>
        </is>
      </c>
      <c r="N35" s="14" t="inlineStr">
        <is>
          <t>Có</t>
        </is>
      </c>
      <c r="O35" s="14" t="inlineStr">
        <is>
          <t>Có</t>
        </is>
      </c>
      <c r="P35" s="14" t="n">
        <v>11</v>
      </c>
      <c r="Q35" s="14" t="inlineStr">
        <is>
          <t>100/80</t>
        </is>
      </c>
      <c r="R35" s="43" t="inlineStr">
        <is>
          <t>66 - 180</t>
        </is>
      </c>
      <c r="S35" s="43" t="inlineStr">
        <is>
          <t>25.5 - 14</t>
        </is>
      </c>
      <c r="T35" s="14" t="inlineStr">
        <is>
          <t>PEROTAC - Bơm trục ngang CM.pdf, tr.7 (hãng khác: AQUARIS, REDPUMP)</t>
        </is>
      </c>
      <c r="U35" s="14" t="inlineStr">
        <is>
          <t>Thông số AQUARIS khác PEROTAC (xem cột riêng)</t>
        </is>
      </c>
    </row>
    <row r="36" ht="18" customHeight="1" s="1">
      <c r="A36" s="8" t="n">
        <v>49</v>
      </c>
      <c r="B36" s="8" t="inlineStr">
        <is>
          <t>CM80-160/15</t>
        </is>
      </c>
      <c r="C36" s="8" t="n">
        <v>15</v>
      </c>
      <c r="D36" s="8" t="inlineStr">
        <is>
          <t>100/80</t>
        </is>
      </c>
      <c r="E36" s="8" t="inlineStr">
        <is>
          <t>0 - 210</t>
        </is>
      </c>
      <c r="F36" s="8" t="inlineStr">
        <is>
          <t>34 - 16.7</t>
        </is>
      </c>
      <c r="G36" s="9" t="n">
        <v>15900000</v>
      </c>
      <c r="H36" s="10" t="n">
        <v>18400000</v>
      </c>
      <c r="I36" s="19" t="n">
        <v>28800000</v>
      </c>
      <c r="J36" s="12" t="n">
        <v>12700000</v>
      </c>
      <c r="K36" s="20" t="n">
        <v>13592000</v>
      </c>
      <c r="L36" s="20" t="n">
        <v>13000000</v>
      </c>
      <c r="M36" s="8" t="inlineStr">
        <is>
          <t>Có</t>
        </is>
      </c>
      <c r="N36" s="8" t="inlineStr">
        <is>
          <t>Có</t>
        </is>
      </c>
      <c r="O36" s="8" t="inlineStr">
        <is>
          <t>Có</t>
        </is>
      </c>
      <c r="P36" s="8" t="n">
        <v>15</v>
      </c>
      <c r="Q36" s="8" t="inlineStr">
        <is>
          <t>100/80</t>
        </is>
      </c>
      <c r="R36" s="43" t="inlineStr">
        <is>
          <t>66 - 192</t>
        </is>
      </c>
      <c r="S36" s="43" t="inlineStr">
        <is>
          <t>29.5 - 16</t>
        </is>
      </c>
      <c r="T36" s="8" t="inlineStr">
        <is>
          <t>PEROTAC - Bơm trục ngang CM.pdf, tr.7 (hãng khác: AQUARIS, REDPUMP)</t>
        </is>
      </c>
      <c r="U36" s="8" t="inlineStr">
        <is>
          <t>Thông số AQUARIS khác PEROTAC (xem cột riêng)</t>
        </is>
      </c>
    </row>
    <row r="37" ht="18" customHeight="1" s="1">
      <c r="A37" s="14" t="n">
        <v>50</v>
      </c>
      <c r="B37" s="14" t="inlineStr">
        <is>
          <t>CM80-160/18.5</t>
        </is>
      </c>
      <c r="C37" s="14" t="n">
        <v>18.5</v>
      </c>
      <c r="D37" s="14" t="inlineStr">
        <is>
          <t>100/80</t>
        </is>
      </c>
      <c r="E37" s="14" t="inlineStr">
        <is>
          <t>0 - 210</t>
        </is>
      </c>
      <c r="F37" s="14" t="inlineStr">
        <is>
          <t>39 - 23.5</t>
        </is>
      </c>
      <c r="G37" s="9" t="n">
        <v>18400000</v>
      </c>
      <c r="H37" s="10" t="n">
        <v>21300000</v>
      </c>
      <c r="I37" s="19" t="n">
        <v>31950000</v>
      </c>
      <c r="J37" s="15" t="n">
        <v>14200000</v>
      </c>
      <c r="K37" s="20" t="n">
        <v>15040000</v>
      </c>
      <c r="L37" s="20" t="n">
        <v>14500000</v>
      </c>
      <c r="M37" s="14" t="inlineStr">
        <is>
          <t>Có</t>
        </is>
      </c>
      <c r="N37" s="14" t="inlineStr">
        <is>
          <t>Có</t>
        </is>
      </c>
      <c r="O37" s="14" t="inlineStr">
        <is>
          <t>Có</t>
        </is>
      </c>
      <c r="P37" s="14" t="n">
        <v>18.5</v>
      </c>
      <c r="Q37" s="14" t="inlineStr">
        <is>
          <t>100/80</t>
        </is>
      </c>
      <c r="R37" s="43" t="inlineStr">
        <is>
          <t>66 - 204</t>
        </is>
      </c>
      <c r="S37" s="43" t="inlineStr">
        <is>
          <t>34 - 20</t>
        </is>
      </c>
      <c r="T37" s="14" t="inlineStr">
        <is>
          <t>PEROTAC - Bơm trục ngang CM.pdf, tr.7 (hãng khác: AQUARIS, REDPUMP)</t>
        </is>
      </c>
      <c r="U37" s="14" t="inlineStr">
        <is>
          <t>Thông số AQUARIS khác PEROTAC (xem cột riêng)</t>
        </is>
      </c>
    </row>
    <row r="38" ht="18" customHeight="1" s="1">
      <c r="A38" s="8" t="n">
        <v>51</v>
      </c>
      <c r="B38" s="8" t="inlineStr">
        <is>
          <t>CM80-160/22</t>
        </is>
      </c>
      <c r="C38" s="8" t="n">
        <v>22</v>
      </c>
      <c r="D38" s="8" t="inlineStr">
        <is>
          <t>100/80</t>
        </is>
      </c>
      <c r="E38" s="8" t="inlineStr">
        <is>
          <t>0 - 210</t>
        </is>
      </c>
      <c r="F38" s="8" t="inlineStr">
        <is>
          <t>44 - 28.5</t>
        </is>
      </c>
      <c r="G38" s="9" t="n">
        <v>23300000</v>
      </c>
      <c r="H38" s="10" t="n">
        <v>27000000</v>
      </c>
      <c r="I38" s="19" t="n">
        <v>40500000</v>
      </c>
      <c r="J38" s="12" t="n">
        <v>18400000</v>
      </c>
      <c r="K38" s="20" t="n">
        <v>19168000</v>
      </c>
      <c r="L38" s="20" t="n">
        <v>19000000</v>
      </c>
      <c r="M38" s="8" t="inlineStr">
        <is>
          <t>Có</t>
        </is>
      </c>
      <c r="N38" s="8" t="inlineStr">
        <is>
          <t>Có</t>
        </is>
      </c>
      <c r="O38" s="8" t="inlineStr">
        <is>
          <t>Có</t>
        </is>
      </c>
      <c r="P38" s="8" t="n">
        <v>22</v>
      </c>
      <c r="Q38" s="8" t="inlineStr">
        <is>
          <t>100/80</t>
        </is>
      </c>
      <c r="R38" s="43" t="inlineStr">
        <is>
          <t>66 - 216</t>
        </is>
      </c>
      <c r="S38" s="43" t="inlineStr">
        <is>
          <t>38.5 - 20</t>
        </is>
      </c>
      <c r="T38" s="8" t="inlineStr">
        <is>
          <t>PEROTAC - Bơm trục ngang CM.pdf, tr.7 (hãng khác: AQUARIS, REDPUMP)</t>
        </is>
      </c>
      <c r="U38" s="8" t="inlineStr">
        <is>
          <t>Thông số AQUARIS khác PEROTAC (xem cột riêng)</t>
        </is>
      </c>
    </row>
    <row r="39" ht="18" customHeight="1" s="1">
      <c r="A39" s="8" t="n">
        <v>53</v>
      </c>
      <c r="B39" s="8" t="inlineStr">
        <is>
          <t>CM80-200/30</t>
        </is>
      </c>
      <c r="C39" s="8" t="n">
        <v>30</v>
      </c>
      <c r="D39" s="8" t="inlineStr">
        <is>
          <t>100/80</t>
        </is>
      </c>
      <c r="E39" s="8" t="inlineStr">
        <is>
          <t>0 - 210</t>
        </is>
      </c>
      <c r="F39" s="8" t="inlineStr">
        <is>
          <t>60 - 40.5</t>
        </is>
      </c>
      <c r="G39" s="9" t="n">
        <v>31300000</v>
      </c>
      <c r="H39" s="10" t="n">
        <v>36300000</v>
      </c>
      <c r="I39" s="19" t="n">
        <v>70200000</v>
      </c>
      <c r="J39" s="12" t="n">
        <v>25200000</v>
      </c>
      <c r="K39" s="20" t="n">
        <v>26800000</v>
      </c>
      <c r="L39" s="20" t="n">
        <v>26000000</v>
      </c>
      <c r="M39" s="8" t="inlineStr">
        <is>
          <t>Có</t>
        </is>
      </c>
      <c r="N39" s="8" t="inlineStr">
        <is>
          <t>Có</t>
        </is>
      </c>
      <c r="O39" s="8" t="inlineStr">
        <is>
          <t>Có</t>
        </is>
      </c>
      <c r="P39" s="8" t="n">
        <v>30</v>
      </c>
      <c r="Q39" s="8" t="inlineStr">
        <is>
          <t>100/80</t>
        </is>
      </c>
      <c r="R39" s="43" t="inlineStr">
        <is>
          <t>84 - 228</t>
        </is>
      </c>
      <c r="S39" s="43" t="inlineStr">
        <is>
          <t>50.8 - 38.6</t>
        </is>
      </c>
      <c r="T39" s="8" t="inlineStr">
        <is>
          <t>PEROTAC - Bơm trục ngang CM.pdf, tr.8 (hãng khác: AQUARIS, REDPUMP)</t>
        </is>
      </c>
      <c r="U39" s="8" t="inlineStr">
        <is>
          <t>Thông số AQUARIS khác PEROTAC (xem cột riêng)</t>
        </is>
      </c>
    </row>
    <row r="40" ht="18" customHeight="1" s="1">
      <c r="A40" s="14" t="n">
        <v>54</v>
      </c>
      <c r="B40" s="14" t="inlineStr">
        <is>
          <t>CM80-250/37</t>
        </is>
      </c>
      <c r="C40" s="14" t="n">
        <v>37</v>
      </c>
      <c r="D40" s="14" t="inlineStr">
        <is>
          <t>100/80</t>
        </is>
      </c>
      <c r="E40" s="14" t="inlineStr">
        <is>
          <t>0 - 210</t>
        </is>
      </c>
      <c r="F40" s="43" t="inlineStr">
        <is>
          <t>71.5 - 41</t>
        </is>
      </c>
      <c r="G40" s="9" t="n">
        <v>33000000</v>
      </c>
      <c r="H40" s="10" t="n">
        <v>38300000</v>
      </c>
      <c r="I40" s="19" t="n">
        <v>73800000</v>
      </c>
      <c r="J40" s="15" t="n">
        <v>27825000</v>
      </c>
      <c r="K40" s="20" t="n">
        <v>28000000</v>
      </c>
      <c r="L40" s="20" t="n">
        <v>27000000</v>
      </c>
      <c r="M40" s="14" t="inlineStr">
        <is>
          <t>Có</t>
        </is>
      </c>
      <c r="N40" s="14" t="inlineStr">
        <is>
          <t>Có</t>
        </is>
      </c>
      <c r="O40" s="44" t="inlineStr">
        <is>
          <t>Không có</t>
        </is>
      </c>
      <c r="P40" s="14" t="inlineStr">
        <is>
          <t>Không có</t>
        </is>
      </c>
      <c r="Q40" s="14" t="inlineStr">
        <is>
          <t>Không có</t>
        </is>
      </c>
      <c r="R40" s="14" t="inlineStr">
        <is>
          <t>Không có</t>
        </is>
      </c>
      <c r="S40" s="14" t="inlineStr">
        <is>
          <t>Không có</t>
        </is>
      </c>
      <c r="T40" s="14" t="inlineStr">
        <is>
          <t>PEROTAC - Bơm trục ngang CM.pdf, tr.8 (hãng khác: REDPUMP)</t>
        </is>
      </c>
      <c r="U40" s="14" t="inlineStr">
        <is>
          <t>Có giá AQUARIS nhưng catalogue AQUARIS không có mã này</t>
        </is>
      </c>
    </row>
    <row r="41" ht="18" customHeight="1" s="1">
      <c r="A41" s="8" t="n">
        <v>55</v>
      </c>
      <c r="B41" s="8" t="inlineStr">
        <is>
          <t>CM80-250/45</t>
        </is>
      </c>
      <c r="C41" s="8" t="n">
        <v>45</v>
      </c>
      <c r="D41" s="8" t="inlineStr">
        <is>
          <t>100/80</t>
        </is>
      </c>
      <c r="E41" s="8" t="inlineStr">
        <is>
          <t>0 - 210</t>
        </is>
      </c>
      <c r="F41" s="8" t="inlineStr">
        <is>
          <t>88 - 51</t>
        </is>
      </c>
      <c r="G41" s="9" t="n">
        <v>38000000</v>
      </c>
      <c r="H41" s="10" t="n">
        <v>45000000</v>
      </c>
      <c r="I41" s="19" t="n">
        <v>90000000</v>
      </c>
      <c r="J41" s="8" t="n"/>
      <c r="K41" s="8" t="n"/>
      <c r="L41" s="8" t="n"/>
      <c r="M41" s="8" t="inlineStr">
        <is>
          <t>Có</t>
        </is>
      </c>
      <c r="N41" s="8" t="inlineStr">
        <is>
          <t>Có</t>
        </is>
      </c>
      <c r="O41" s="44" t="inlineStr">
        <is>
          <t>Không có</t>
        </is>
      </c>
      <c r="P41" s="8" t="inlineStr">
        <is>
          <t>Không có</t>
        </is>
      </c>
      <c r="Q41" s="8" t="inlineStr">
        <is>
          <t>Không có</t>
        </is>
      </c>
      <c r="R41" s="8" t="inlineStr">
        <is>
          <t>Không có</t>
        </is>
      </c>
      <c r="S41" s="8" t="inlineStr">
        <is>
          <t>Không có</t>
        </is>
      </c>
      <c r="T41" s="8" t="inlineStr">
        <is>
          <t>PEROTAC - Bơm trục ngang CM.pdf, tr.8 (hãng khác: REDPUMP)</t>
        </is>
      </c>
      <c r="U41" s="8" t="inlineStr">
        <is>
          <t>Có giá AQUARIS nhưng catalogue AQUARIS không có mã này</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P24"/>
  <sheetViews>
    <sheetView zoomScaleNormal="100" workbookViewId="0">
      <pane xSplit="2" ySplit="1" topLeftCell="C2" activePane="bottomRight" state="frozen"/>
      <selection pane="topRight" activeCell="A1" sqref="A1"/>
      <selection pane="bottomLeft" activeCell="A1" sqref="A1"/>
      <selection pane="bottomRight" activeCell="J28" sqref="J28"/>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10"/>
    <col width="14" customWidth="1" style="1" min="11" max="11"/>
    <col width="16" customWidth="1" style="1" min="12" max="12"/>
    <col width="16" customWidth="1" style="1" min="13" max="13"/>
    <col width="16" customWidth="1" style="1" min="14" max="14"/>
    <col width="40" customWidth="1" style="1" min="15" max="15"/>
    <col width="45" customWidth="1" style="1" min="16" max="16"/>
  </cols>
  <sheetData>
    <row r="1" ht="30" customHeight="1" s="1">
      <c r="A1" s="2" t="inlineStr">
        <is>
          <t>STT</t>
        </is>
      </c>
      <c r="B1" s="2" t="inlineStr">
        <is>
          <t>MODEL</t>
        </is>
      </c>
      <c r="C1" s="2" t="inlineStr">
        <is>
          <t>Công suất (kw)</t>
        </is>
      </c>
      <c r="D1" s="2" t="inlineStr">
        <is>
          <t>Họng hút/xả (mm)</t>
        </is>
      </c>
      <c r="E1" s="2" t="inlineStr">
        <is>
          <t>Lưu lượng (m3/h)</t>
        </is>
      </c>
      <c r="F1" s="2" t="inlineStr">
        <is>
          <t>Cột áp (m)</t>
        </is>
      </c>
      <c r="G1" s="3" t="inlineStr">
        <is>
          <t>REDPUMP</t>
        </is>
      </c>
      <c r="H1" s="4" t="inlineStr">
        <is>
          <t>PEROTAC</t>
        </is>
      </c>
      <c r="I1" s="5" t="inlineStr">
        <is>
          <t>AQUARIS</t>
        </is>
      </c>
      <c r="J1" s="6" t="inlineStr">
        <is>
          <t>Giá nhập HT</t>
        </is>
      </c>
      <c r="K1" s="6" t="inlineStr">
        <is>
          <t>Giá nhập TT</t>
        </is>
      </c>
      <c r="L1" s="42" t="inlineStr">
        <is>
          <t>Có trong catalogue REDPUMP</t>
        </is>
      </c>
      <c r="M1" s="42" t="inlineStr">
        <is>
          <t>Có trong catalogue PEROTAC</t>
        </is>
      </c>
      <c r="N1" s="42" t="inlineStr">
        <is>
          <t>Có trong catalogue AQUARIS</t>
        </is>
      </c>
      <c r="O1" s="42" t="inlineStr">
        <is>
          <t>Nguồn thông số (catalogue đã duyệt)</t>
        </is>
      </c>
      <c r="P1" s="42" t="inlineStr">
        <is>
          <t>Ghi chú</t>
        </is>
      </c>
    </row>
    <row r="2" ht="18" customHeight="1" s="1">
      <c r="A2" s="8" t="n">
        <v>1</v>
      </c>
      <c r="B2" s="8" t="inlineStr">
        <is>
          <t>3M32-160/1.5</t>
        </is>
      </c>
      <c r="C2" s="8" t="n">
        <v>1.5</v>
      </c>
      <c r="D2" s="8" t="inlineStr">
        <is>
          <t>50/32</t>
        </is>
      </c>
      <c r="E2" s="8" t="inlineStr">
        <is>
          <t>9 - 20</t>
        </is>
      </c>
      <c r="F2" s="8" t="inlineStr">
        <is>
          <t>26.5 - 17</t>
        </is>
      </c>
      <c r="G2" s="9" t="n">
        <v>7200000</v>
      </c>
      <c r="H2" s="10" t="n">
        <v>8200000</v>
      </c>
      <c r="I2" s="19" t="n">
        <v>13300000</v>
      </c>
      <c r="J2" s="12" t="n">
        <v>5321700</v>
      </c>
      <c r="K2" s="20" t="n">
        <v>4900000</v>
      </c>
      <c r="L2" s="8" t="inlineStr">
        <is>
          <t>Có</t>
        </is>
      </c>
      <c r="M2" s="8" t="inlineStr">
        <is>
          <t>Có</t>
        </is>
      </c>
      <c r="N2" s="8" t="inlineStr">
        <is>
          <t>Có</t>
        </is>
      </c>
      <c r="O2" s="8" t="inlineStr">
        <is>
          <t>PEROTAC - Bơm trục ngang 3M.pdf, tr.2 (hãng khác: AQUARIS, REDPUMP)</t>
        </is>
      </c>
    </row>
    <row r="3" ht="18" customHeight="1" s="1">
      <c r="A3" s="14" t="n">
        <v>2</v>
      </c>
      <c r="B3" s="14" t="inlineStr">
        <is>
          <t>3M32-160/2.2</t>
        </is>
      </c>
      <c r="C3" s="14" t="n">
        <v>2.2</v>
      </c>
      <c r="D3" s="14" t="inlineStr">
        <is>
          <t>50/32</t>
        </is>
      </c>
      <c r="E3" s="14" t="inlineStr">
        <is>
          <t>9 - 20</t>
        </is>
      </c>
      <c r="F3" s="14" t="inlineStr">
        <is>
          <t>34 - 25</t>
        </is>
      </c>
      <c r="G3" s="9" t="n">
        <v>8400000</v>
      </c>
      <c r="H3" s="10" t="n">
        <v>9600000</v>
      </c>
      <c r="I3" s="19" t="n">
        <v>15500000</v>
      </c>
      <c r="J3" s="15" t="n">
        <v>6204600</v>
      </c>
      <c r="K3" s="20" t="n">
        <v>5800000</v>
      </c>
      <c r="L3" s="14" t="inlineStr">
        <is>
          <t>Có</t>
        </is>
      </c>
      <c r="M3" s="14" t="inlineStr">
        <is>
          <t>Có</t>
        </is>
      </c>
      <c r="N3" s="14" t="inlineStr">
        <is>
          <t>Có</t>
        </is>
      </c>
      <c r="O3" s="14" t="inlineStr">
        <is>
          <t>PEROTAC - Bơm trục ngang 3M.pdf, tr.2 (hãng khác: AQUARIS, REDPUMP)</t>
        </is>
      </c>
    </row>
    <row r="4" ht="18" customHeight="1" s="1">
      <c r="A4" s="8" t="n">
        <v>3</v>
      </c>
      <c r="B4" s="8" t="inlineStr">
        <is>
          <t>3M32-200/3.0</t>
        </is>
      </c>
      <c r="C4" s="8" t="n">
        <v>3</v>
      </c>
      <c r="D4" s="8" t="inlineStr">
        <is>
          <t>50/32</t>
        </is>
      </c>
      <c r="E4" s="8" t="inlineStr">
        <is>
          <t>9 - 20</t>
        </is>
      </c>
      <c r="F4" s="8" t="inlineStr">
        <is>
          <t>40 - 28</t>
        </is>
      </c>
      <c r="G4" s="9" t="n">
        <v>9900000</v>
      </c>
      <c r="H4" s="10" t="n">
        <v>11400000</v>
      </c>
      <c r="I4" s="19" t="n">
        <v>18400000</v>
      </c>
      <c r="J4" s="12" t="n">
        <v>7346700</v>
      </c>
      <c r="K4" s="20" t="n">
        <v>6900000</v>
      </c>
      <c r="L4" s="8" t="inlineStr">
        <is>
          <t>Có</t>
        </is>
      </c>
      <c r="M4" s="8" t="inlineStr">
        <is>
          <t>Có</t>
        </is>
      </c>
      <c r="N4" s="8" t="inlineStr">
        <is>
          <t>Có</t>
        </is>
      </c>
      <c r="O4" s="8" t="inlineStr">
        <is>
          <t>PEROTAC - Bơm trục ngang 3M.pdf, tr.2 (hãng khác: AQUARIS, REDPUMP)</t>
        </is>
      </c>
    </row>
    <row r="5" ht="18" customHeight="1" s="1">
      <c r="A5" s="14" t="n">
        <v>4</v>
      </c>
      <c r="B5" s="14" t="inlineStr">
        <is>
          <t>3M32-200/4.0</t>
        </is>
      </c>
      <c r="C5" s="14" t="n">
        <v>4</v>
      </c>
      <c r="D5" s="14" t="inlineStr">
        <is>
          <t>50/32</t>
        </is>
      </c>
      <c r="E5" s="14" t="inlineStr">
        <is>
          <t>9 - 24</t>
        </is>
      </c>
      <c r="F5" s="14" t="inlineStr">
        <is>
          <t>52-37</t>
        </is>
      </c>
      <c r="G5" s="9" t="n">
        <v>11500000</v>
      </c>
      <c r="H5" s="10" t="n">
        <v>13200000</v>
      </c>
      <c r="I5" s="19" t="n">
        <v>21200000</v>
      </c>
      <c r="J5" s="15" t="n">
        <v>8496900</v>
      </c>
      <c r="K5" s="14" t="n"/>
      <c r="L5" s="14" t="inlineStr">
        <is>
          <t>Có</t>
        </is>
      </c>
      <c r="M5" s="14" t="inlineStr">
        <is>
          <t>Có</t>
        </is>
      </c>
      <c r="N5" s="14" t="inlineStr">
        <is>
          <t>Có</t>
        </is>
      </c>
      <c r="O5" s="14" t="inlineStr">
        <is>
          <t>PEROTAC - Bơm trục ngang 3M.pdf, tr.2 (hãng khác: AQUARIS, REDPUMP)</t>
        </is>
      </c>
    </row>
    <row r="6" ht="18" customHeight="1" s="1">
      <c r="A6" s="8" t="n">
        <v>5</v>
      </c>
      <c r="B6" s="8" t="inlineStr">
        <is>
          <t>3M32-200/5.5</t>
        </is>
      </c>
      <c r="C6" s="8" t="n">
        <v>5.5</v>
      </c>
      <c r="D6" s="8" t="inlineStr">
        <is>
          <t>50/32</t>
        </is>
      </c>
      <c r="E6" s="8" t="inlineStr">
        <is>
          <t>9 - 24</t>
        </is>
      </c>
      <c r="F6" s="8" t="inlineStr">
        <is>
          <t>67.5 - 51</t>
        </is>
      </c>
      <c r="G6" s="9" t="n">
        <v>14000000</v>
      </c>
      <c r="H6" s="10" t="n">
        <v>16000000</v>
      </c>
      <c r="I6" s="19" t="n">
        <v>25900000</v>
      </c>
      <c r="J6" s="12" t="n">
        <v>10343700</v>
      </c>
      <c r="K6" s="8" t="n"/>
      <c r="L6" s="8" t="inlineStr">
        <is>
          <t>Có</t>
        </is>
      </c>
      <c r="M6" s="8" t="inlineStr">
        <is>
          <t>Có</t>
        </is>
      </c>
      <c r="N6" s="8" t="inlineStr">
        <is>
          <t>Có</t>
        </is>
      </c>
      <c r="O6" s="8" t="inlineStr">
        <is>
          <t>PEROTAC - Bơm trục ngang 3M.pdf, tr.2 (hãng khác: AQUARIS, REDPUMP)</t>
        </is>
      </c>
    </row>
    <row r="7" ht="18" customHeight="1" s="1">
      <c r="A7" s="14" t="n">
        <v>6</v>
      </c>
      <c r="B7" s="14" t="inlineStr">
        <is>
          <t>3M40-125/1.5</t>
        </is>
      </c>
      <c r="C7" s="14" t="n">
        <v>1.5</v>
      </c>
      <c r="D7" s="14" t="inlineStr">
        <is>
          <t>65/40</t>
        </is>
      </c>
      <c r="E7" s="14" t="inlineStr">
        <is>
          <t>12 - 42</t>
        </is>
      </c>
      <c r="F7" s="14" t="inlineStr">
        <is>
          <t>19 - 7</t>
        </is>
      </c>
      <c r="G7" s="9" t="n">
        <v>7200000</v>
      </c>
      <c r="H7" s="10" t="n">
        <v>8200000</v>
      </c>
      <c r="I7" s="19" t="n">
        <v>13300000</v>
      </c>
      <c r="J7" s="15" t="n">
        <v>5321700</v>
      </c>
      <c r="K7" s="14" t="n"/>
      <c r="L7" s="14" t="inlineStr">
        <is>
          <t>Có</t>
        </is>
      </c>
      <c r="M7" s="14" t="inlineStr">
        <is>
          <t>Có</t>
        </is>
      </c>
      <c r="N7" s="14" t="inlineStr">
        <is>
          <t>Có</t>
        </is>
      </c>
      <c r="O7" s="14" t="inlineStr">
        <is>
          <t>PEROTAC - Bơm trục ngang 3M.pdf, tr.3 (hãng khác: AQUARIS, REDPUMP)</t>
        </is>
      </c>
    </row>
    <row r="8" ht="18" customHeight="1" s="1">
      <c r="A8" s="8" t="n">
        <v>8</v>
      </c>
      <c r="B8" s="8" t="inlineStr">
        <is>
          <t>3M40-125/2.2</t>
        </is>
      </c>
      <c r="C8" s="8" t="n">
        <v>2.2</v>
      </c>
      <c r="D8" s="8" t="inlineStr">
        <is>
          <t>65/40</t>
        </is>
      </c>
      <c r="E8" s="8" t="inlineStr">
        <is>
          <t>12 - 42</t>
        </is>
      </c>
      <c r="F8" s="8" t="inlineStr">
        <is>
          <t>25.5 - 13</t>
        </is>
      </c>
      <c r="G8" s="9" t="n">
        <v>8400000</v>
      </c>
      <c r="H8" s="10" t="n">
        <v>9600000</v>
      </c>
      <c r="I8" s="19" t="n">
        <v>15500000</v>
      </c>
      <c r="J8" s="12" t="n">
        <v>6204600</v>
      </c>
      <c r="K8" s="20" t="n">
        <v>5800000</v>
      </c>
      <c r="L8" s="8" t="inlineStr">
        <is>
          <t>Có</t>
        </is>
      </c>
      <c r="M8" s="8" t="inlineStr">
        <is>
          <t>Có</t>
        </is>
      </c>
      <c r="N8" s="8" t="inlineStr">
        <is>
          <t>Có</t>
        </is>
      </c>
      <c r="O8" s="8" t="inlineStr">
        <is>
          <t>PEROTAC - Bơm trục ngang 3M.pdf, tr.3 (hãng khác: AQUARIS, REDPUMP)</t>
        </is>
      </c>
    </row>
    <row r="9" ht="18" customHeight="1" s="1">
      <c r="A9" s="14" t="n">
        <v>9</v>
      </c>
      <c r="B9" s="14" t="inlineStr">
        <is>
          <t>3M40-160/3.0</t>
        </is>
      </c>
      <c r="C9" s="14" t="n">
        <v>3</v>
      </c>
      <c r="D9" s="14" t="inlineStr">
        <is>
          <t>65/40</t>
        </is>
      </c>
      <c r="E9" s="14" t="inlineStr">
        <is>
          <t>12 - 42</t>
        </is>
      </c>
      <c r="F9" s="14" t="inlineStr">
        <is>
          <t>29.5 - 17</t>
        </is>
      </c>
      <c r="G9" s="9" t="n">
        <v>9900000</v>
      </c>
      <c r="H9" s="10" t="n">
        <v>11400000</v>
      </c>
      <c r="I9" s="19" t="n">
        <v>18400000</v>
      </c>
      <c r="J9" s="15" t="n">
        <v>7346700</v>
      </c>
      <c r="K9" s="20" t="n">
        <v>6900000</v>
      </c>
      <c r="L9" s="14" t="inlineStr">
        <is>
          <t>Có</t>
        </is>
      </c>
      <c r="M9" s="14" t="inlineStr">
        <is>
          <t>Có</t>
        </is>
      </c>
      <c r="N9" s="14" t="inlineStr">
        <is>
          <t>Có</t>
        </is>
      </c>
      <c r="O9" s="14" t="inlineStr">
        <is>
          <t>PEROTAC - Bơm trục ngang 3M.pdf, tr.3 (hãng khác: AQUARIS, REDPUMP)</t>
        </is>
      </c>
    </row>
    <row r="10" ht="18" customHeight="1" s="1">
      <c r="A10" s="8" t="n">
        <v>10</v>
      </c>
      <c r="B10" s="8" t="inlineStr">
        <is>
          <t>3M40-160/4.0</t>
        </is>
      </c>
      <c r="C10" s="8" t="n">
        <v>4</v>
      </c>
      <c r="D10" s="8" t="inlineStr">
        <is>
          <t>65/40</t>
        </is>
      </c>
      <c r="E10" s="8" t="inlineStr">
        <is>
          <t>12 - 42</t>
        </is>
      </c>
      <c r="F10" s="8" t="inlineStr">
        <is>
          <t>38.5 - 25.5</t>
        </is>
      </c>
      <c r="G10" s="9" t="n">
        <v>11500000</v>
      </c>
      <c r="H10" s="10" t="n">
        <v>13200000</v>
      </c>
      <c r="I10" s="19" t="n">
        <v>21200000</v>
      </c>
      <c r="J10" s="12" t="n">
        <v>8496900</v>
      </c>
      <c r="K10" s="8" t="n"/>
      <c r="L10" s="8" t="inlineStr">
        <is>
          <t>Có</t>
        </is>
      </c>
      <c r="M10" s="8" t="inlineStr">
        <is>
          <t>Có</t>
        </is>
      </c>
      <c r="N10" s="8" t="inlineStr">
        <is>
          <t>Có</t>
        </is>
      </c>
      <c r="O10" s="8" t="inlineStr">
        <is>
          <t>PEROTAC - Bơm trục ngang 3M.pdf, tr.3 (hãng khác: AQUARIS, REDPUMP)</t>
        </is>
      </c>
    </row>
    <row r="11" ht="18" customHeight="1" s="1">
      <c r="A11" s="14" t="n">
        <v>11</v>
      </c>
      <c r="B11" s="14" t="inlineStr">
        <is>
          <t>3M40-200/5.5</t>
        </is>
      </c>
      <c r="C11" s="14" t="n">
        <v>5.5</v>
      </c>
      <c r="D11" s="14" t="inlineStr">
        <is>
          <t>65/40</t>
        </is>
      </c>
      <c r="E11" s="14" t="inlineStr">
        <is>
          <t>12 - 42</t>
        </is>
      </c>
      <c r="F11" s="14" t="inlineStr">
        <is>
          <t>45.5 - 31</t>
        </is>
      </c>
      <c r="G11" s="9" t="n">
        <v>14000000</v>
      </c>
      <c r="H11" s="10" t="n">
        <v>16000000</v>
      </c>
      <c r="I11" s="19" t="n">
        <v>25900000</v>
      </c>
      <c r="J11" s="15" t="n">
        <v>10343700</v>
      </c>
      <c r="K11" s="14" t="n"/>
      <c r="L11" s="14" t="inlineStr">
        <is>
          <t>Có</t>
        </is>
      </c>
      <c r="M11" s="14" t="inlineStr">
        <is>
          <t>Có</t>
        </is>
      </c>
      <c r="N11" s="14" t="inlineStr">
        <is>
          <t>Có</t>
        </is>
      </c>
      <c r="O11" s="14" t="inlineStr">
        <is>
          <t>PEROTAC - Bơm trục ngang 3M.pdf, tr.3 (hãng khác: AQUARIS, REDPUMP)</t>
        </is>
      </c>
    </row>
    <row r="12" ht="18" customHeight="1" s="1">
      <c r="A12" s="8" t="n">
        <v>12</v>
      </c>
      <c r="B12" s="8" t="inlineStr">
        <is>
          <t>3M40-200/7.5</t>
        </is>
      </c>
      <c r="C12" s="8" t="n">
        <v>7.5</v>
      </c>
      <c r="D12" s="8" t="inlineStr">
        <is>
          <t>65/40</t>
        </is>
      </c>
      <c r="E12" s="8" t="inlineStr">
        <is>
          <t>12 - 42</t>
        </is>
      </c>
      <c r="F12" s="8" t="inlineStr">
        <is>
          <t>57 - 44</t>
        </is>
      </c>
      <c r="G12" s="9" t="n">
        <v>15400000</v>
      </c>
      <c r="H12" s="10" t="n">
        <v>17700000</v>
      </c>
      <c r="I12" s="19" t="n">
        <v>28600000</v>
      </c>
      <c r="J12" s="12" t="n">
        <v>11421000</v>
      </c>
      <c r="K12" s="8" t="n"/>
      <c r="L12" s="8" t="inlineStr">
        <is>
          <t>Có</t>
        </is>
      </c>
      <c r="M12" s="8" t="inlineStr">
        <is>
          <t>Có</t>
        </is>
      </c>
      <c r="N12" s="8" t="inlineStr">
        <is>
          <t>Có</t>
        </is>
      </c>
      <c r="O12" s="8" t="inlineStr">
        <is>
          <t>PEROTAC - Bơm trục ngang 3M.pdf, tr.3 (hãng khác: AQUARIS, REDPUMP)</t>
        </is>
      </c>
    </row>
    <row r="13" ht="18" customHeight="1" s="1">
      <c r="A13" s="14" t="n">
        <v>13</v>
      </c>
      <c r="B13" s="14" t="inlineStr">
        <is>
          <t>3M40-200/11</t>
        </is>
      </c>
      <c r="C13" s="14" t="n">
        <v>11</v>
      </c>
      <c r="D13" s="14" t="inlineStr">
        <is>
          <t>65/40</t>
        </is>
      </c>
      <c r="E13" s="14" t="inlineStr">
        <is>
          <t>12 - 42</t>
        </is>
      </c>
      <c r="F13" s="14" t="inlineStr">
        <is>
          <t>71 - 59</t>
        </is>
      </c>
      <c r="G13" s="9" t="n">
        <v>20500000</v>
      </c>
      <c r="H13" s="10" t="n">
        <v>23500000</v>
      </c>
      <c r="I13" s="19" t="n">
        <v>37900000</v>
      </c>
      <c r="J13" s="15" t="n">
        <v>15163200</v>
      </c>
      <c r="K13" s="14" t="n"/>
      <c r="L13" s="14" t="inlineStr">
        <is>
          <t>Có</t>
        </is>
      </c>
      <c r="M13" s="14" t="inlineStr">
        <is>
          <t>Có</t>
        </is>
      </c>
      <c r="N13" s="14" t="inlineStr">
        <is>
          <t>Có</t>
        </is>
      </c>
      <c r="O13" s="14" t="inlineStr">
        <is>
          <t>PEROTAC - Bơm trục ngang 3M.pdf, tr.3 (hãng khác: AQUARIS, REDPUMP)</t>
        </is>
      </c>
    </row>
    <row r="14" ht="18" customHeight="1" s="1">
      <c r="A14" s="8" t="n">
        <v>14</v>
      </c>
      <c r="B14" s="8" t="inlineStr">
        <is>
          <t>3M50-125/4.0</t>
        </is>
      </c>
      <c r="C14" s="8" t="n">
        <v>4</v>
      </c>
      <c r="D14" s="8" t="inlineStr">
        <is>
          <t>65/50</t>
        </is>
      </c>
      <c r="E14" s="8" t="inlineStr">
        <is>
          <t>24 - 72</t>
        </is>
      </c>
      <c r="F14" s="8" t="inlineStr">
        <is>
          <t>26 - 14</t>
        </is>
      </c>
      <c r="G14" s="9" t="n">
        <v>11500000</v>
      </c>
      <c r="H14" s="10" t="n">
        <v>13200000</v>
      </c>
      <c r="I14" s="19" t="n">
        <v>21200000</v>
      </c>
      <c r="J14" s="12" t="n">
        <v>8496900</v>
      </c>
      <c r="K14" s="8" t="n"/>
      <c r="L14" s="8" t="inlineStr">
        <is>
          <t>Có</t>
        </is>
      </c>
      <c r="M14" s="8" t="inlineStr">
        <is>
          <t>Có</t>
        </is>
      </c>
      <c r="N14" s="8" t="inlineStr">
        <is>
          <t>Có</t>
        </is>
      </c>
      <c r="O14" s="8" t="inlineStr">
        <is>
          <t>PEROTAC - Bơm trục ngang 3M.pdf, tr.4 (hãng khác: AQUARIS, REDPUMP)</t>
        </is>
      </c>
    </row>
    <row r="15" ht="18" customHeight="1" s="1">
      <c r="A15" s="14" t="n">
        <v>15</v>
      </c>
      <c r="B15" s="14" t="inlineStr">
        <is>
          <t>3M50-160/5.5</t>
        </is>
      </c>
      <c r="C15" s="14" t="n">
        <v>5.5</v>
      </c>
      <c r="D15" s="14" t="inlineStr">
        <is>
          <t>65/50</t>
        </is>
      </c>
      <c r="E15" s="14" t="inlineStr">
        <is>
          <t>24 - 72</t>
        </is>
      </c>
      <c r="F15" s="14" t="inlineStr">
        <is>
          <t>31 - 18</t>
        </is>
      </c>
      <c r="G15" s="9" t="n">
        <v>14000000</v>
      </c>
      <c r="H15" s="10" t="n">
        <v>16000000</v>
      </c>
      <c r="I15" s="19" t="n">
        <v>25900000</v>
      </c>
      <c r="J15" s="15" t="n">
        <v>10343700</v>
      </c>
      <c r="K15" s="14" t="n"/>
      <c r="L15" s="14" t="inlineStr">
        <is>
          <t>Có</t>
        </is>
      </c>
      <c r="M15" s="14" t="inlineStr">
        <is>
          <t>Có</t>
        </is>
      </c>
      <c r="N15" s="14" t="inlineStr">
        <is>
          <t>Có</t>
        </is>
      </c>
      <c r="O15" s="14" t="inlineStr">
        <is>
          <t>PEROTAC - Bơm trục ngang 3M.pdf, tr.4 (hãng khác: AQUARIS, REDPUMP)</t>
        </is>
      </c>
    </row>
    <row r="16" ht="18" customHeight="1" s="1">
      <c r="A16" s="8" t="n">
        <v>17</v>
      </c>
      <c r="B16" s="8" t="inlineStr">
        <is>
          <t>3M50-160/7.5</t>
        </is>
      </c>
      <c r="C16" s="8" t="n">
        <v>7.5</v>
      </c>
      <c r="D16" s="8" t="inlineStr">
        <is>
          <t>65/50</t>
        </is>
      </c>
      <c r="E16" s="8" t="inlineStr">
        <is>
          <t>24 - 72</t>
        </is>
      </c>
      <c r="F16" s="8" t="inlineStr">
        <is>
          <t>38.5 - 26</t>
        </is>
      </c>
      <c r="G16" s="9" t="n">
        <v>15400000</v>
      </c>
      <c r="H16" s="10" t="n">
        <v>17700000</v>
      </c>
      <c r="I16" s="19" t="n">
        <v>28600000</v>
      </c>
      <c r="J16" s="12" t="n">
        <v>11421000</v>
      </c>
      <c r="K16" s="8" t="n"/>
      <c r="L16" s="8" t="inlineStr">
        <is>
          <t>Có</t>
        </is>
      </c>
      <c r="M16" s="8" t="inlineStr">
        <is>
          <t>Có</t>
        </is>
      </c>
      <c r="N16" s="8" t="inlineStr">
        <is>
          <t>Có</t>
        </is>
      </c>
      <c r="O16" s="8" t="inlineStr">
        <is>
          <t>PEROTAC - Bơm trục ngang 3M.pdf, tr.4 (hãng khác: AQUARIS, REDPUMP)</t>
        </is>
      </c>
    </row>
    <row r="17" ht="18" customHeight="1" s="1">
      <c r="A17" s="14" t="n">
        <v>18</v>
      </c>
      <c r="B17" s="14" t="inlineStr">
        <is>
          <t>3M50-200/11</t>
        </is>
      </c>
      <c r="C17" s="14" t="n">
        <v>11</v>
      </c>
      <c r="D17" s="14" t="inlineStr">
        <is>
          <t>65/50</t>
        </is>
      </c>
      <c r="E17" s="43" t="inlineStr">
        <is>
          <t>24 - 72</t>
        </is>
      </c>
      <c r="F17" s="43" t="inlineStr">
        <is>
          <t>57 - 42</t>
        </is>
      </c>
      <c r="G17" s="9" t="n">
        <v>20500000</v>
      </c>
      <c r="H17" s="10" t="n">
        <v>23500000</v>
      </c>
      <c r="I17" s="19" t="n">
        <v>37900000</v>
      </c>
      <c r="J17" s="15" t="n">
        <v>15163200</v>
      </c>
      <c r="K17" s="20" t="n">
        <v>14000000</v>
      </c>
      <c r="L17" s="14" t="inlineStr">
        <is>
          <t>Có</t>
        </is>
      </c>
      <c r="M17" s="14" t="inlineStr">
        <is>
          <t>Có</t>
        </is>
      </c>
      <c r="N17" s="14" t="inlineStr">
        <is>
          <t>Có</t>
        </is>
      </c>
      <c r="O17" s="14" t="inlineStr">
        <is>
          <t>PEROTAC - Bơm trục ngang 3M.pdf, tr.4 (hãng khác: AQUARIS, REDPUMP)</t>
        </is>
      </c>
    </row>
    <row r="18" ht="18" customHeight="1" s="1">
      <c r="A18" s="8" t="n">
        <v>19</v>
      </c>
      <c r="B18" s="8" t="inlineStr">
        <is>
          <t>3M50-200/15</t>
        </is>
      </c>
      <c r="C18" s="8" t="n">
        <v>15</v>
      </c>
      <c r="D18" s="8" t="inlineStr">
        <is>
          <t>65/50</t>
        </is>
      </c>
      <c r="E18" s="43" t="inlineStr">
        <is>
          <t>24 - 72</t>
        </is>
      </c>
      <c r="F18" s="43" t="inlineStr">
        <is>
          <t>70 - 57</t>
        </is>
      </c>
      <c r="G18" s="9" t="n">
        <v>22800000</v>
      </c>
      <c r="H18" s="10" t="n">
        <v>26200000</v>
      </c>
      <c r="I18" s="19" t="n">
        <v>42200000</v>
      </c>
      <c r="J18" s="12" t="n">
        <v>16880400</v>
      </c>
      <c r="K18" s="20" t="n">
        <v>15500000</v>
      </c>
      <c r="L18" s="8" t="inlineStr">
        <is>
          <t>Có</t>
        </is>
      </c>
      <c r="M18" s="8" t="inlineStr">
        <is>
          <t>Có</t>
        </is>
      </c>
      <c r="N18" s="8" t="inlineStr">
        <is>
          <t>Có</t>
        </is>
      </c>
      <c r="O18" s="8" t="inlineStr">
        <is>
          <t>PEROTAC - Bơm trục ngang 3M.pdf, tr.4 (hãng khác: AQUARIS, REDPUMP)</t>
        </is>
      </c>
    </row>
    <row r="19" ht="18" customHeight="1" s="1">
      <c r="A19" s="14" t="n">
        <v>20</v>
      </c>
      <c r="B19" s="14" t="inlineStr">
        <is>
          <t>3M65-125/5.5</t>
        </is>
      </c>
      <c r="C19" s="14" t="n">
        <v>5.5</v>
      </c>
      <c r="D19" s="14" t="inlineStr">
        <is>
          <t>80/65</t>
        </is>
      </c>
      <c r="E19" s="43" t="inlineStr">
        <is>
          <t>36 - 126</t>
        </is>
      </c>
      <c r="F19" s="43" t="inlineStr">
        <is>
          <t>24.3 - 8</t>
        </is>
      </c>
      <c r="G19" s="9" t="n">
        <v>14700000</v>
      </c>
      <c r="H19" s="10" t="n">
        <v>16800000</v>
      </c>
      <c r="I19" s="19" t="n">
        <v>27200000</v>
      </c>
      <c r="J19" s="15" t="n">
        <v>10870200</v>
      </c>
      <c r="K19" s="14" t="n"/>
      <c r="L19" s="14" t="inlineStr">
        <is>
          <t>Có</t>
        </is>
      </c>
      <c r="M19" s="14" t="inlineStr">
        <is>
          <t>Có</t>
        </is>
      </c>
      <c r="N19" s="14" t="inlineStr">
        <is>
          <t>Có</t>
        </is>
      </c>
      <c r="O19" s="14" t="inlineStr">
        <is>
          <t>PEROTAC - Bơm trục ngang 3M.pdf, tr.5 (hãng khác: AQUARIS, REDPUMP)</t>
        </is>
      </c>
    </row>
    <row r="20" ht="18" customHeight="1" s="1">
      <c r="A20" s="8" t="n">
        <v>21</v>
      </c>
      <c r="B20" s="8" t="inlineStr">
        <is>
          <t>3M65-125/7.5</t>
        </is>
      </c>
      <c r="C20" s="8" t="n">
        <v>7.5</v>
      </c>
      <c r="D20" s="8" t="inlineStr">
        <is>
          <t>80/65</t>
        </is>
      </c>
      <c r="E20" s="43" t="inlineStr">
        <is>
          <t>36 - 132</t>
        </is>
      </c>
      <c r="F20" s="43" t="inlineStr">
        <is>
          <t>29.8 - 12</t>
        </is>
      </c>
      <c r="G20" s="9" t="n">
        <v>15600000</v>
      </c>
      <c r="H20" s="10" t="n">
        <v>17900000</v>
      </c>
      <c r="I20" s="19" t="n">
        <v>28900000</v>
      </c>
      <c r="J20" s="12" t="n">
        <v>11558700</v>
      </c>
      <c r="K20" s="8" t="n"/>
      <c r="L20" s="8" t="inlineStr">
        <is>
          <t>Có</t>
        </is>
      </c>
      <c r="M20" s="8" t="inlineStr">
        <is>
          <t>Có</t>
        </is>
      </c>
      <c r="N20" s="8" t="inlineStr">
        <is>
          <t>Có</t>
        </is>
      </c>
      <c r="O20" s="8" t="inlineStr">
        <is>
          <t>PEROTAC - Bơm trục ngang 3M.pdf, tr.5 (hãng khác: AQUARIS, REDPUMP)</t>
        </is>
      </c>
    </row>
    <row r="21" ht="18" customHeight="1" s="1">
      <c r="A21" s="14" t="n">
        <v>22</v>
      </c>
      <c r="B21" s="14" t="inlineStr">
        <is>
          <t>3M65-160/11</t>
        </is>
      </c>
      <c r="C21" s="14" t="n">
        <v>11</v>
      </c>
      <c r="D21" s="14" t="inlineStr">
        <is>
          <t>80/65</t>
        </is>
      </c>
      <c r="E21" s="43" t="inlineStr">
        <is>
          <t>36 - 138</t>
        </is>
      </c>
      <c r="F21" s="43" t="inlineStr">
        <is>
          <t>38.8 - 20</t>
        </is>
      </c>
      <c r="G21" s="9" t="n">
        <v>20200000</v>
      </c>
      <c r="H21" s="10" t="n">
        <v>23200000</v>
      </c>
      <c r="I21" s="19" t="n">
        <v>37400000</v>
      </c>
      <c r="J21" s="15" t="n">
        <v>14968800</v>
      </c>
      <c r="K21" s="20" t="n">
        <v>14000000</v>
      </c>
      <c r="L21" s="14" t="inlineStr">
        <is>
          <t>Có</t>
        </is>
      </c>
      <c r="M21" s="14" t="inlineStr">
        <is>
          <t>Có</t>
        </is>
      </c>
      <c r="N21" s="14" t="inlineStr">
        <is>
          <t>Có</t>
        </is>
      </c>
      <c r="O21" s="14" t="inlineStr">
        <is>
          <t>PEROTAC - Bơm trục ngang 3M.pdf, tr.5 (hãng khác: AQUARIS, REDPUMP)</t>
        </is>
      </c>
    </row>
    <row r="22" ht="18" customHeight="1" s="1">
      <c r="A22" s="8" t="n">
        <v>24</v>
      </c>
      <c r="B22" s="8" t="inlineStr">
        <is>
          <t>3M65-160/15</t>
        </is>
      </c>
      <c r="C22" s="8" t="n">
        <v>15</v>
      </c>
      <c r="D22" s="8" t="inlineStr">
        <is>
          <t>80/65</t>
        </is>
      </c>
      <c r="E22" s="8" t="inlineStr">
        <is>
          <t>42 - 138</t>
        </is>
      </c>
      <c r="F22" s="8" t="inlineStr">
        <is>
          <t>45.5 - 26.5</t>
        </is>
      </c>
      <c r="G22" s="9" t="n">
        <v>23700000</v>
      </c>
      <c r="H22" s="10" t="n">
        <v>27200000</v>
      </c>
      <c r="I22" s="19" t="n">
        <v>43900000</v>
      </c>
      <c r="J22" s="12" t="n">
        <v>17568900</v>
      </c>
      <c r="K22" s="20" t="n">
        <v>15500000</v>
      </c>
      <c r="P22" s="44" t="inlineStr">
        <is>
          <t>Không có trong catalogue đã duyệt – giữ nguyên thông số cũ</t>
        </is>
      </c>
    </row>
    <row r="23" ht="18" customHeight="1" s="1">
      <c r="A23" s="14" t="n">
        <v>25</v>
      </c>
      <c r="B23" s="14" t="inlineStr">
        <is>
          <t>3M65-200/18.5</t>
        </is>
      </c>
      <c r="C23" s="14" t="n">
        <v>18.5</v>
      </c>
      <c r="D23" s="14" t="inlineStr">
        <is>
          <t>80/65</t>
        </is>
      </c>
      <c r="E23" s="43" t="inlineStr">
        <is>
          <t>36 - 138</t>
        </is>
      </c>
      <c r="F23" s="43" t="inlineStr">
        <is>
          <t>58.6 - 36.3</t>
        </is>
      </c>
      <c r="G23" s="9" t="n">
        <v>28700000</v>
      </c>
      <c r="H23" s="10" t="n">
        <v>32900000</v>
      </c>
      <c r="I23" s="19" t="n">
        <v>53100000</v>
      </c>
      <c r="J23" s="15" t="n">
        <v>21230100</v>
      </c>
      <c r="K23" s="14" t="n"/>
      <c r="L23" s="14" t="inlineStr">
        <is>
          <t>Có</t>
        </is>
      </c>
      <c r="M23" s="14" t="inlineStr">
        <is>
          <t>Có</t>
        </is>
      </c>
      <c r="N23" s="14" t="inlineStr">
        <is>
          <t>Có</t>
        </is>
      </c>
      <c r="O23" s="14" t="inlineStr">
        <is>
          <t>PEROTAC - Bơm trục ngang 3M.pdf, tr.5 (hãng khác: AQUARIS, REDPUMP)</t>
        </is>
      </c>
    </row>
    <row r="24" ht="18" customHeight="1" s="1">
      <c r="A24" s="8" t="n">
        <v>26</v>
      </c>
      <c r="B24" s="8" t="inlineStr">
        <is>
          <t>3M65-200/22</t>
        </is>
      </c>
      <c r="C24" s="8" t="n">
        <v>22</v>
      </c>
      <c r="D24" s="8" t="inlineStr">
        <is>
          <t>80/65</t>
        </is>
      </c>
      <c r="E24" s="43" t="inlineStr">
        <is>
          <t>36 - 138</t>
        </is>
      </c>
      <c r="F24" s="43" t="inlineStr">
        <is>
          <t>66 - 45</t>
        </is>
      </c>
      <c r="G24" s="9" t="n">
        <v>31900000</v>
      </c>
      <c r="H24" s="10" t="n">
        <v>36600000</v>
      </c>
      <c r="I24" s="19" t="n">
        <v>59000000</v>
      </c>
      <c r="J24" s="12" t="n">
        <v>23611500</v>
      </c>
      <c r="K24" s="8" t="n"/>
      <c r="L24" s="8" t="inlineStr">
        <is>
          <t>Có</t>
        </is>
      </c>
      <c r="M24" s="8" t="inlineStr">
        <is>
          <t>Có</t>
        </is>
      </c>
      <c r="N24" s="8" t="inlineStr">
        <is>
          <t>Có</t>
        </is>
      </c>
      <c r="O24" s="8" t="inlineStr">
        <is>
          <t>PEROTAC - Bơm trục ngang 3M.pdf, tr.5 (hãng khác: AQUARIS, REDPUMP)</t>
        </is>
      </c>
    </row>
  </sheetData>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Q3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5" customWidth="1" style="1" min="1" max="1"/>
    <col width="18" customWidth="1" style="1" min="2" max="2"/>
    <col width="12" customWidth="1" style="1" min="3" max="3"/>
    <col width="13" customWidth="1" style="1" min="4" max="4"/>
    <col width="13" customWidth="1" style="1" min="5" max="5"/>
    <col width="11" customWidth="1" style="1" min="6" max="6"/>
    <col width="13" customWidth="1" style="1" min="7" max="7"/>
    <col width="13" customWidth="1" style="1" min="8" max="8"/>
    <col width="13" customWidth="1" style="1" min="9" max="9"/>
    <col width="14" customWidth="1" style="1" min="10" max="10"/>
    <col width="13" customWidth="1" style="1" min="11" max="11"/>
    <col width="13" customWidth="1" style="1" min="12" max="12"/>
    <col width="13" customWidth="1" style="1" min="13" max="13"/>
    <col width="13" customWidth="1" style="1" min="14" max="14"/>
    <col width="13" customWidth="1" style="1" min="15" max="15"/>
    <col width="40" customWidth="1" style="1" min="16" max="16"/>
    <col width="40" customWidth="1" style="1" min="17" max="17"/>
  </cols>
  <sheetData>
    <row r="1">
      <c r="A1" s="2" t="inlineStr">
        <is>
          <t>STT</t>
        </is>
      </c>
      <c r="B1" s="2" t="inlineStr">
        <is>
          <t>MODEL</t>
        </is>
      </c>
      <c r="C1" s="2" t="inlineStr">
        <is>
          <t>Công suất (kW)</t>
        </is>
      </c>
      <c r="D1" s="2" t="inlineStr">
        <is>
          <t>Họng hút/xả (mm)</t>
        </is>
      </c>
      <c r="E1" s="2" t="inlineStr">
        <is>
          <t>Lưu lượng max (m3/h)</t>
        </is>
      </c>
      <c r="F1" s="2" t="inlineStr">
        <is>
          <t>Cột áp max (m)</t>
        </is>
      </c>
      <c r="G1" s="25" t="inlineStr">
        <is>
          <t>REDPUMP</t>
        </is>
      </c>
      <c r="H1" s="26" t="inlineStr">
        <is>
          <t>PEROTAC</t>
        </is>
      </c>
      <c r="I1" s="27" t="inlineStr">
        <is>
          <t>AQUARIS</t>
        </is>
      </c>
      <c r="J1" s="6" t="inlineStr">
        <is>
          <t>Giá nhập</t>
        </is>
      </c>
      <c r="K1" s="6" t="inlineStr"/>
      <c r="L1" s="6" t="inlineStr"/>
      <c r="M1" s="42" t="inlineStr">
        <is>
          <t>Có trong catalogue REDPUMP</t>
        </is>
      </c>
      <c r="N1" s="42" t="inlineStr">
        <is>
          <t>Có trong catalogue PEROTAC</t>
        </is>
      </c>
      <c r="O1" s="42" t="inlineStr">
        <is>
          <t>Có trong catalogue AQUARIS</t>
        </is>
      </c>
      <c r="P1" s="42" t="inlineStr">
        <is>
          <t>Nguồn thông số (catalogue đã duyệt)</t>
        </is>
      </c>
      <c r="Q1" s="42" t="inlineStr">
        <is>
          <t>Ghi chú</t>
        </is>
      </c>
    </row>
    <row r="2">
      <c r="A2" s="49" t="n">
        <v>1</v>
      </c>
      <c r="B2" s="49" t="inlineStr">
        <is>
          <t>MHI-202</t>
        </is>
      </c>
      <c r="C2" s="49" t="n">
        <v>0.37</v>
      </c>
      <c r="D2" s="49" t="inlineStr">
        <is>
          <t>25/25</t>
        </is>
      </c>
      <c r="E2" s="49" t="n">
        <v>4</v>
      </c>
      <c r="F2" s="49" t="n">
        <v>27</v>
      </c>
      <c r="G2" s="50" t="n"/>
      <c r="H2" s="50" t="n"/>
      <c r="I2" s="50" t="n"/>
      <c r="J2" s="50" t="n"/>
      <c r="K2" s="51" t="n"/>
      <c r="L2" s="51" t="n"/>
      <c r="M2" s="51" t="inlineStr">
        <is>
          <t>Có</t>
        </is>
      </c>
      <c r="N2" s="51" t="inlineStr">
        <is>
          <t>Có</t>
        </is>
      </c>
      <c r="O2" s="51" t="inlineStr">
        <is>
          <t>Có</t>
        </is>
      </c>
      <c r="P2" s="51" t="inlineStr">
        <is>
          <t>PEROTAC - Bơm trục ngang MHI.pdf, tr.2 (hãng khác: REDPUMP, AQUARIS)</t>
        </is>
      </c>
      <c r="Q2" s="51" t="inlineStr">
        <is>
          <t>Dòng MỚI – chưa có giá</t>
        </is>
      </c>
    </row>
    <row r="3">
      <c r="A3" s="49" t="n">
        <v>2</v>
      </c>
      <c r="B3" s="49" t="inlineStr">
        <is>
          <t>MHI-203</t>
        </is>
      </c>
      <c r="C3" s="49" t="n">
        <v>0.55</v>
      </c>
      <c r="D3" s="49" t="inlineStr">
        <is>
          <t>25/25</t>
        </is>
      </c>
      <c r="E3" s="49" t="n">
        <v>4</v>
      </c>
      <c r="F3" s="49" t="n">
        <v>37</v>
      </c>
      <c r="G3" s="50" t="n"/>
      <c r="H3" s="50" t="n"/>
      <c r="I3" s="50" t="n"/>
      <c r="J3" s="50" t="n"/>
      <c r="K3" s="51" t="n"/>
      <c r="L3" s="51" t="n"/>
      <c r="M3" s="51" t="inlineStr">
        <is>
          <t>Có</t>
        </is>
      </c>
      <c r="N3" s="51" t="inlineStr">
        <is>
          <t>Có</t>
        </is>
      </c>
      <c r="O3" s="51" t="inlineStr">
        <is>
          <t>Có</t>
        </is>
      </c>
      <c r="P3" s="51" t="inlineStr">
        <is>
          <t>PEROTAC - Bơm trục ngang MHI.pdf, tr.2 (hãng khác: REDPUMP, AQUARIS)</t>
        </is>
      </c>
      <c r="Q3" s="51" t="inlineStr">
        <is>
          <t>Dòng MỚI – chưa có giá</t>
        </is>
      </c>
    </row>
    <row r="4">
      <c r="A4" s="49" t="n">
        <v>3</v>
      </c>
      <c r="B4" s="49" t="inlineStr">
        <is>
          <t>MHI-204</t>
        </is>
      </c>
      <c r="C4" s="49" t="n">
        <v>0.55</v>
      </c>
      <c r="D4" s="49" t="inlineStr">
        <is>
          <t>25/25</t>
        </is>
      </c>
      <c r="E4" s="49" t="n">
        <v>4</v>
      </c>
      <c r="F4" s="49" t="n">
        <v>45</v>
      </c>
      <c r="G4" s="50" t="n"/>
      <c r="H4" s="50" t="n"/>
      <c r="I4" s="50" t="n"/>
      <c r="J4" s="50" t="n"/>
      <c r="K4" s="51" t="n"/>
      <c r="L4" s="51" t="n"/>
      <c r="M4" s="51" t="inlineStr">
        <is>
          <t>Có</t>
        </is>
      </c>
      <c r="N4" s="51" t="inlineStr">
        <is>
          <t>Có</t>
        </is>
      </c>
      <c r="O4" s="51" t="inlineStr">
        <is>
          <t>Có</t>
        </is>
      </c>
      <c r="P4" s="51" t="inlineStr">
        <is>
          <t>PEROTAC - Bơm trục ngang MHI.pdf, tr.2 (hãng khác: REDPUMP, AQUARIS)</t>
        </is>
      </c>
      <c r="Q4" s="51" t="inlineStr">
        <is>
          <t>Dòng MỚI – chưa có giá</t>
        </is>
      </c>
    </row>
    <row r="5">
      <c r="A5" s="49" t="n">
        <v>4</v>
      </c>
      <c r="B5" s="49" t="inlineStr">
        <is>
          <t>MHI-205</t>
        </is>
      </c>
      <c r="C5" s="49" t="n">
        <v>0.75</v>
      </c>
      <c r="D5" s="49" t="inlineStr">
        <is>
          <t>25/25</t>
        </is>
      </c>
      <c r="E5" s="49" t="n">
        <v>4</v>
      </c>
      <c r="F5" s="49" t="n">
        <v>54</v>
      </c>
      <c r="G5" s="50" t="n"/>
      <c r="H5" s="50" t="n"/>
      <c r="I5" s="50" t="n"/>
      <c r="J5" s="50" t="n"/>
      <c r="K5" s="51" t="n"/>
      <c r="L5" s="51" t="n"/>
      <c r="M5" s="51" t="inlineStr">
        <is>
          <t>Có</t>
        </is>
      </c>
      <c r="N5" s="51" t="inlineStr">
        <is>
          <t>Có</t>
        </is>
      </c>
      <c r="O5" s="51" t="inlineStr">
        <is>
          <t>Có</t>
        </is>
      </c>
      <c r="P5" s="51" t="inlineStr">
        <is>
          <t>PEROTAC - Bơm trục ngang MHI.pdf, tr.2 (hãng khác: REDPUMP, AQUARIS)</t>
        </is>
      </c>
      <c r="Q5" s="51" t="inlineStr">
        <is>
          <t>Dòng MỚI – chưa có giá</t>
        </is>
      </c>
    </row>
    <row r="6">
      <c r="A6" s="49" t="n">
        <v>5</v>
      </c>
      <c r="B6" s="49" t="inlineStr">
        <is>
          <t>MHI-206</t>
        </is>
      </c>
      <c r="C6" s="49" t="n">
        <v>1.1</v>
      </c>
      <c r="D6" s="49" t="inlineStr">
        <is>
          <t>25/25</t>
        </is>
      </c>
      <c r="E6" s="49" t="n">
        <v>4</v>
      </c>
      <c r="F6" s="49" t="n">
        <v>69</v>
      </c>
      <c r="G6" s="50" t="n"/>
      <c r="H6" s="50" t="n"/>
      <c r="I6" s="50" t="n"/>
      <c r="J6" s="50" t="n"/>
      <c r="K6" s="51" t="n"/>
      <c r="L6" s="51" t="n"/>
      <c r="M6" s="51" t="inlineStr">
        <is>
          <t>Có</t>
        </is>
      </c>
      <c r="N6" s="51" t="inlineStr">
        <is>
          <t>Có</t>
        </is>
      </c>
      <c r="O6" s="51" t="inlineStr">
        <is>
          <t>Có</t>
        </is>
      </c>
      <c r="P6" s="51" t="inlineStr">
        <is>
          <t>PEROTAC - Bơm trục ngang MHI.pdf, tr.2 (hãng khác: REDPUMP, AQUARIS)</t>
        </is>
      </c>
      <c r="Q6" s="51" t="inlineStr">
        <is>
          <t>Dòng MỚI – chưa có giá</t>
        </is>
      </c>
    </row>
    <row r="7">
      <c r="A7" s="49" t="n">
        <v>6</v>
      </c>
      <c r="B7" s="49" t="inlineStr">
        <is>
          <t>MHI-402</t>
        </is>
      </c>
      <c r="C7" s="49" t="n">
        <v>0.37</v>
      </c>
      <c r="D7" s="49" t="inlineStr">
        <is>
          <t>32/25</t>
        </is>
      </c>
      <c r="E7" s="49" t="n">
        <v>7</v>
      </c>
      <c r="F7" s="49" t="n">
        <v>23</v>
      </c>
      <c r="G7" s="50" t="n"/>
      <c r="H7" s="50" t="n"/>
      <c r="I7" s="50" t="n"/>
      <c r="J7" s="50" t="n"/>
      <c r="K7" s="51" t="n"/>
      <c r="L7" s="51" t="n"/>
      <c r="M7" s="51" t="inlineStr">
        <is>
          <t>Có</t>
        </is>
      </c>
      <c r="N7" s="51" t="inlineStr">
        <is>
          <t>Có</t>
        </is>
      </c>
      <c r="O7" s="51" t="inlineStr">
        <is>
          <t>Có</t>
        </is>
      </c>
      <c r="P7" s="51" t="inlineStr">
        <is>
          <t>PEROTAC - Bơm trục ngang MHI.pdf, tr.2 (hãng khác: REDPUMP, AQUARIS)</t>
        </is>
      </c>
      <c r="Q7" s="51" t="inlineStr">
        <is>
          <t>Dòng MỚI – chưa có giá</t>
        </is>
      </c>
    </row>
    <row r="8">
      <c r="A8" s="49" t="n">
        <v>7</v>
      </c>
      <c r="B8" s="49" t="inlineStr">
        <is>
          <t>MHI-403</t>
        </is>
      </c>
      <c r="C8" s="49" t="n">
        <v>0.55</v>
      </c>
      <c r="D8" s="49" t="inlineStr">
        <is>
          <t>32/25</t>
        </is>
      </c>
      <c r="E8" s="49" t="n">
        <v>7</v>
      </c>
      <c r="F8" s="49" t="n">
        <v>28</v>
      </c>
      <c r="G8" s="50" t="n"/>
      <c r="H8" s="50" t="n"/>
      <c r="I8" s="50" t="n"/>
      <c r="J8" s="50" t="n"/>
      <c r="K8" s="51" t="n"/>
      <c r="L8" s="51" t="n"/>
      <c r="M8" s="51" t="inlineStr">
        <is>
          <t>Có</t>
        </is>
      </c>
      <c r="N8" s="51" t="inlineStr">
        <is>
          <t>Có</t>
        </is>
      </c>
      <c r="O8" s="51" t="inlineStr">
        <is>
          <t>Có</t>
        </is>
      </c>
      <c r="P8" s="51" t="inlineStr">
        <is>
          <t>PEROTAC - Bơm trục ngang MHI.pdf, tr.2 (hãng khác: REDPUMP, AQUARIS)</t>
        </is>
      </c>
      <c r="Q8" s="51" t="inlineStr">
        <is>
          <t>Dòng MỚI – chưa có giá</t>
        </is>
      </c>
    </row>
    <row r="9">
      <c r="A9" s="49" t="n">
        <v>8</v>
      </c>
      <c r="B9" s="49" t="inlineStr">
        <is>
          <t>MHI-404</t>
        </is>
      </c>
      <c r="C9" s="49" t="n">
        <v>0.75</v>
      </c>
      <c r="D9" s="49" t="inlineStr">
        <is>
          <t>32/25</t>
        </is>
      </c>
      <c r="E9" s="49" t="n">
        <v>7.5</v>
      </c>
      <c r="F9" s="49" t="n">
        <v>37</v>
      </c>
      <c r="G9" s="50" t="n"/>
      <c r="H9" s="50" t="n"/>
      <c r="I9" s="50" t="n"/>
      <c r="J9" s="50" t="n"/>
      <c r="K9" s="51" t="n"/>
      <c r="L9" s="51" t="n"/>
      <c r="M9" s="51" t="inlineStr">
        <is>
          <t>Có</t>
        </is>
      </c>
      <c r="N9" s="51" t="inlineStr">
        <is>
          <t>Có</t>
        </is>
      </c>
      <c r="O9" s="51" t="inlineStr">
        <is>
          <t>Có</t>
        </is>
      </c>
      <c r="P9" s="51" t="inlineStr">
        <is>
          <t>PEROTAC - Bơm trục ngang MHI.pdf, tr.2 (hãng khác: REDPUMP, AQUARIS)</t>
        </is>
      </c>
      <c r="Q9" s="51" t="inlineStr">
        <is>
          <t>Dòng MỚI – chưa có giá</t>
        </is>
      </c>
    </row>
    <row r="10">
      <c r="A10" s="49" t="n">
        <v>9</v>
      </c>
      <c r="B10" s="49" t="inlineStr">
        <is>
          <t>MHI-405</t>
        </is>
      </c>
      <c r="C10" s="49" t="n">
        <v>1.1</v>
      </c>
      <c r="D10" s="49" t="inlineStr">
        <is>
          <t>32/25</t>
        </is>
      </c>
      <c r="E10" s="49" t="n">
        <v>7.2</v>
      </c>
      <c r="F10" s="49" t="n">
        <v>45</v>
      </c>
      <c r="G10" s="50" t="n"/>
      <c r="H10" s="50" t="n"/>
      <c r="I10" s="50" t="n"/>
      <c r="J10" s="50" t="n"/>
      <c r="K10" s="51" t="n"/>
      <c r="L10" s="51" t="n"/>
      <c r="M10" s="51" t="inlineStr">
        <is>
          <t>Có</t>
        </is>
      </c>
      <c r="N10" s="51" t="inlineStr">
        <is>
          <t>Có</t>
        </is>
      </c>
      <c r="O10" s="51" t="inlineStr">
        <is>
          <t>Có</t>
        </is>
      </c>
      <c r="P10" s="51" t="inlineStr">
        <is>
          <t>PEROTAC - Bơm trục ngang MHI.pdf, tr.2 (hãng khác: REDPUMP, AQUARIS)</t>
        </is>
      </c>
      <c r="Q10" s="51" t="inlineStr">
        <is>
          <t>Dòng MỚI – chưa có giá</t>
        </is>
      </c>
    </row>
    <row r="11">
      <c r="A11" s="49" t="n">
        <v>10</v>
      </c>
      <c r="B11" s="49" t="inlineStr">
        <is>
          <t>MHI-406</t>
        </is>
      </c>
      <c r="C11" s="49" t="n">
        <v>1.5</v>
      </c>
      <c r="D11" s="49" t="inlineStr">
        <is>
          <t>32/25</t>
        </is>
      </c>
      <c r="E11" s="49" t="n">
        <v>7.2</v>
      </c>
      <c r="F11" s="49" t="n">
        <v>55</v>
      </c>
      <c r="G11" s="50" t="n"/>
      <c r="H11" s="50" t="n"/>
      <c r="I11" s="50" t="n"/>
      <c r="J11" s="50" t="n"/>
      <c r="K11" s="51" t="n"/>
      <c r="L11" s="51" t="n"/>
      <c r="M11" s="51" t="inlineStr">
        <is>
          <t>Có</t>
        </is>
      </c>
      <c r="N11" s="51" t="inlineStr">
        <is>
          <t>Có</t>
        </is>
      </c>
      <c r="O11" s="51" t="inlineStr">
        <is>
          <t>Có</t>
        </is>
      </c>
      <c r="P11" s="51" t="inlineStr">
        <is>
          <t>PEROTAC - Bơm trục ngang MHI.pdf, tr.2 (hãng khác: REDPUMP, AQUARIS)</t>
        </is>
      </c>
      <c r="Q11" s="51" t="inlineStr">
        <is>
          <t>Dòng MỚI – chưa có giá</t>
        </is>
      </c>
    </row>
    <row r="12">
      <c r="A12" s="49" t="n">
        <v>11</v>
      </c>
      <c r="B12" s="49" t="inlineStr">
        <is>
          <t>MHI-802</t>
        </is>
      </c>
      <c r="C12" s="49" t="n">
        <v>0.75</v>
      </c>
      <c r="D12" s="49" t="inlineStr">
        <is>
          <t>40/32</t>
        </is>
      </c>
      <c r="E12" s="49" t="n">
        <v>10</v>
      </c>
      <c r="F12" s="49" t="n">
        <v>23</v>
      </c>
      <c r="G12" s="50" t="n"/>
      <c r="H12" s="50" t="n"/>
      <c r="I12" s="50" t="n"/>
      <c r="J12" s="50" t="n"/>
      <c r="K12" s="51" t="n"/>
      <c r="L12" s="51" t="n"/>
      <c r="M12" s="51" t="inlineStr">
        <is>
          <t>Có</t>
        </is>
      </c>
      <c r="N12" s="51" t="inlineStr">
        <is>
          <t>Có</t>
        </is>
      </c>
      <c r="O12" s="51" t="inlineStr">
        <is>
          <t>Có</t>
        </is>
      </c>
      <c r="P12" s="51" t="inlineStr">
        <is>
          <t>PEROTAC - Bơm trục ngang MHI.pdf, tr.2 (hãng khác: REDPUMP, AQUARIS)</t>
        </is>
      </c>
      <c r="Q12" s="51" t="inlineStr">
        <is>
          <t>Dòng MỚI – chưa có giá</t>
        </is>
      </c>
    </row>
    <row r="13">
      <c r="A13" s="49" t="n">
        <v>12</v>
      </c>
      <c r="B13" s="49" t="inlineStr">
        <is>
          <t>MHI-803</t>
        </is>
      </c>
      <c r="C13" s="49" t="n">
        <v>1.1</v>
      </c>
      <c r="D13" s="49" t="inlineStr">
        <is>
          <t>40/32</t>
        </is>
      </c>
      <c r="E13" s="49" t="n">
        <v>10</v>
      </c>
      <c r="F13" s="49" t="n">
        <v>28</v>
      </c>
      <c r="G13" s="50" t="n"/>
      <c r="H13" s="50" t="n"/>
      <c r="I13" s="50" t="n"/>
      <c r="J13" s="50" t="n"/>
      <c r="K13" s="51" t="n"/>
      <c r="L13" s="51" t="n"/>
      <c r="M13" s="51" t="inlineStr">
        <is>
          <t>Có</t>
        </is>
      </c>
      <c r="N13" s="51" t="inlineStr">
        <is>
          <t>Có</t>
        </is>
      </c>
      <c r="O13" s="51" t="inlineStr">
        <is>
          <t>Có</t>
        </is>
      </c>
      <c r="P13" s="51" t="inlineStr">
        <is>
          <t>PEROTAC - Bơm trục ngang MHI.pdf, tr.2 (hãng khác: REDPUMP, AQUARIS)</t>
        </is>
      </c>
      <c r="Q13" s="51" t="inlineStr">
        <is>
          <t>Dòng MỚI – chưa có giá</t>
        </is>
      </c>
    </row>
    <row r="14">
      <c r="A14" s="49" t="n">
        <v>13</v>
      </c>
      <c r="B14" s="49" t="inlineStr">
        <is>
          <t>MHI-804</t>
        </is>
      </c>
      <c r="C14" s="49" t="n">
        <v>1.5</v>
      </c>
      <c r="D14" s="49" t="inlineStr">
        <is>
          <t>40/32</t>
        </is>
      </c>
      <c r="E14" s="49" t="n">
        <v>10</v>
      </c>
      <c r="F14" s="49" t="n">
        <v>38</v>
      </c>
      <c r="G14" s="50" t="n"/>
      <c r="H14" s="50" t="n"/>
      <c r="I14" s="50" t="n"/>
      <c r="J14" s="50" t="n"/>
      <c r="K14" s="51" t="n"/>
      <c r="L14" s="51" t="n"/>
      <c r="M14" s="51" t="inlineStr">
        <is>
          <t>Có</t>
        </is>
      </c>
      <c r="N14" s="51" t="inlineStr">
        <is>
          <t>Có</t>
        </is>
      </c>
      <c r="O14" s="51" t="inlineStr">
        <is>
          <t>Có</t>
        </is>
      </c>
      <c r="P14" s="51" t="inlineStr">
        <is>
          <t>PEROTAC - Bơm trục ngang MHI.pdf, tr.2 (hãng khác: REDPUMP, AQUARIS)</t>
        </is>
      </c>
      <c r="Q14" s="51" t="inlineStr">
        <is>
          <t>Dòng MỚI – chưa có giá</t>
        </is>
      </c>
    </row>
    <row r="15">
      <c r="A15" s="49" t="n">
        <v>14</v>
      </c>
      <c r="B15" s="49" t="inlineStr">
        <is>
          <t>MHI-805</t>
        </is>
      </c>
      <c r="C15" s="49" t="n">
        <v>2.2</v>
      </c>
      <c r="D15" s="49" t="inlineStr">
        <is>
          <t>40/32</t>
        </is>
      </c>
      <c r="E15" s="49" t="n">
        <v>12</v>
      </c>
      <c r="F15" s="49" t="n">
        <v>47</v>
      </c>
      <c r="G15" s="50" t="n"/>
      <c r="H15" s="50" t="n"/>
      <c r="I15" s="50" t="n"/>
      <c r="J15" s="50" t="n"/>
      <c r="K15" s="51" t="n"/>
      <c r="L15" s="51" t="n"/>
      <c r="M15" s="51" t="inlineStr">
        <is>
          <t>Có</t>
        </is>
      </c>
      <c r="N15" s="51" t="inlineStr">
        <is>
          <t>Có</t>
        </is>
      </c>
      <c r="O15" s="51" t="inlineStr">
        <is>
          <t>Có</t>
        </is>
      </c>
      <c r="P15" s="51" t="inlineStr">
        <is>
          <t>PEROTAC - Bơm trục ngang MHI.pdf, tr.2 (hãng khác: REDPUMP, AQUARIS)</t>
        </is>
      </c>
      <c r="Q15" s="51" t="inlineStr">
        <is>
          <t>Dòng MỚI – chưa có giá</t>
        </is>
      </c>
    </row>
    <row r="16">
      <c r="A16" s="49" t="n">
        <v>15</v>
      </c>
      <c r="B16" s="49" t="inlineStr">
        <is>
          <t>MHI-1602</t>
        </is>
      </c>
      <c r="C16" s="49" t="n">
        <v>1.5</v>
      </c>
      <c r="D16" s="49" t="inlineStr">
        <is>
          <t>50/40</t>
        </is>
      </c>
      <c r="E16" s="49" t="n">
        <v>26</v>
      </c>
      <c r="F16" s="49" t="n">
        <v>24</v>
      </c>
      <c r="G16" s="50" t="n"/>
      <c r="H16" s="50" t="n"/>
      <c r="I16" s="50" t="n"/>
      <c r="J16" s="50" t="n"/>
      <c r="K16" s="51" t="n"/>
      <c r="L16" s="51" t="n"/>
      <c r="M16" s="51" t="inlineStr">
        <is>
          <t>Có</t>
        </is>
      </c>
      <c r="N16" s="51" t="inlineStr">
        <is>
          <t>Có</t>
        </is>
      </c>
      <c r="O16" s="51" t="inlineStr">
        <is>
          <t>Có</t>
        </is>
      </c>
      <c r="P16" s="51" t="inlineStr">
        <is>
          <t>PEROTAC - Bơm trục ngang MHI.pdf, tr.2 (hãng khác: REDPUMP, AQUARIS)</t>
        </is>
      </c>
      <c r="Q16" s="51" t="inlineStr">
        <is>
          <t>Dòng MỚI – chưa có giá</t>
        </is>
      </c>
    </row>
    <row r="17">
      <c r="A17" s="49" t="n">
        <v>16</v>
      </c>
      <c r="B17" s="49" t="inlineStr">
        <is>
          <t>MHI-1603</t>
        </is>
      </c>
      <c r="C17" s="49" t="n">
        <v>1.85</v>
      </c>
      <c r="D17" s="49" t="inlineStr">
        <is>
          <t>50/40</t>
        </is>
      </c>
      <c r="E17" s="49" t="n">
        <v>26</v>
      </c>
      <c r="F17" s="49" t="n">
        <v>30</v>
      </c>
      <c r="G17" s="50" t="n"/>
      <c r="H17" s="50" t="n"/>
      <c r="I17" s="50" t="n"/>
      <c r="J17" s="50" t="n"/>
      <c r="K17" s="51" t="n"/>
      <c r="L17" s="51" t="n"/>
      <c r="M17" s="51" t="inlineStr">
        <is>
          <t>Có</t>
        </is>
      </c>
      <c r="N17" s="51" t="inlineStr">
        <is>
          <t>Có</t>
        </is>
      </c>
      <c r="O17" s="51" t="inlineStr">
        <is>
          <t>Có</t>
        </is>
      </c>
      <c r="P17" s="51" t="inlineStr">
        <is>
          <t>PEROTAC - Bơm trục ngang MHI.pdf, tr.2 (hãng khác: REDPUMP, AQUARIS)</t>
        </is>
      </c>
      <c r="Q17" s="51" t="inlineStr">
        <is>
          <t>Dòng MỚI – chưa có giá</t>
        </is>
      </c>
    </row>
    <row r="18">
      <c r="A18" s="49" t="n">
        <v>17</v>
      </c>
      <c r="B18" s="49" t="inlineStr">
        <is>
          <t>MHI-1604</t>
        </is>
      </c>
      <c r="C18" s="49" t="n">
        <v>2.2</v>
      </c>
      <c r="D18" s="49" t="inlineStr">
        <is>
          <t>50/40</t>
        </is>
      </c>
      <c r="E18" s="49" t="n">
        <v>26</v>
      </c>
      <c r="F18" s="49" t="n">
        <v>36</v>
      </c>
      <c r="G18" s="50" t="n"/>
      <c r="H18" s="50" t="n"/>
      <c r="I18" s="50" t="n"/>
      <c r="J18" s="50" t="n"/>
      <c r="K18" s="51" t="n"/>
      <c r="L18" s="51" t="n"/>
      <c r="M18" s="51" t="inlineStr">
        <is>
          <t>Có</t>
        </is>
      </c>
      <c r="N18" s="51" t="inlineStr">
        <is>
          <t>Có</t>
        </is>
      </c>
      <c r="O18" s="51" t="inlineStr">
        <is>
          <t>Có</t>
        </is>
      </c>
      <c r="P18" s="51" t="inlineStr">
        <is>
          <t>PEROTAC - Bơm trục ngang MHI.pdf, tr.2 (hãng khác: REDPUMP, AQUARIS)</t>
        </is>
      </c>
      <c r="Q18" s="51" t="inlineStr">
        <is>
          <t>Dòng MỚI – chưa có giá</t>
        </is>
      </c>
    </row>
    <row r="20">
      <c r="A20" s="2" t="inlineStr">
        <is>
          <t>STT</t>
        </is>
      </c>
      <c r="B20" s="2" t="inlineStr">
        <is>
          <t>MODEL</t>
        </is>
      </c>
      <c r="C20" s="2" t="inlineStr">
        <is>
          <t>Họng hút/xả (mm)</t>
        </is>
      </c>
      <c r="D20" s="2" t="inlineStr">
        <is>
          <t>Áp cài đặt (bar)</t>
        </is>
      </c>
      <c r="E20" s="2" t="inlineStr">
        <is>
          <t>Kích thước L0 × W × H (mm)</t>
        </is>
      </c>
      <c r="F20" s="2" t="inlineStr"/>
      <c r="G20" s="25" t="inlineStr">
        <is>
          <t>REDPUMP</t>
        </is>
      </c>
      <c r="H20" s="26" t="inlineStr">
        <is>
          <t>PEROTAC</t>
        </is>
      </c>
      <c r="I20" s="27" t="inlineStr">
        <is>
          <t>AQUARIS</t>
        </is>
      </c>
      <c r="J20" s="6" t="inlineStr">
        <is>
          <t>Giá nhập</t>
        </is>
      </c>
      <c r="K20" s="6" t="inlineStr"/>
      <c r="L20" s="6" t="inlineStr"/>
      <c r="M20" s="42" t="inlineStr">
        <is>
          <t>Có trong catalogue REDPUMP</t>
        </is>
      </c>
      <c r="N20" s="42" t="inlineStr">
        <is>
          <t>Có trong catalogue PEROTAC</t>
        </is>
      </c>
      <c r="O20" s="42" t="inlineStr">
        <is>
          <t>Có trong catalogue AQUARIS</t>
        </is>
      </c>
      <c r="P20" s="42" t="inlineStr">
        <is>
          <t>Nguồn thông số (catalogue đã duyệt)</t>
        </is>
      </c>
      <c r="Q20" s="42" t="inlineStr">
        <is>
          <t>Ghi chú</t>
        </is>
      </c>
    </row>
    <row r="21">
      <c r="A21" s="49" t="n">
        <v>1</v>
      </c>
      <c r="B21" s="49" t="inlineStr">
        <is>
          <t>IVT-MHI202</t>
        </is>
      </c>
      <c r="C21" s="49" t="inlineStr">
        <is>
          <t>25/25</t>
        </is>
      </c>
      <c r="D21" s="49" t="n">
        <v>1.6</v>
      </c>
      <c r="E21" s="49" t="inlineStr">
        <is>
          <t>505 × 180 × 540</t>
        </is>
      </c>
      <c r="F21" s="49" t="n"/>
      <c r="G21" s="50" t="n"/>
      <c r="H21" s="50" t="n"/>
      <c r="I21" s="50" t="n"/>
      <c r="J21" s="50" t="n"/>
      <c r="K21" s="51" t="n"/>
      <c r="L21" s="51" t="n"/>
      <c r="M21" s="51" t="inlineStr">
        <is>
          <t>Có</t>
        </is>
      </c>
      <c r="N21" s="51" t="inlineStr">
        <is>
          <t>Có</t>
        </is>
      </c>
      <c r="O21" s="51" t="inlineStr">
        <is>
          <t>Có</t>
        </is>
      </c>
      <c r="P21" s="51" t="inlineStr">
        <is>
          <t>PEROTAC - Bơm trục ngang MHI.pdf, tr.3</t>
        </is>
      </c>
      <c r="Q21" s="51" t="inlineStr">
        <is>
          <t>Dòng MỚI: cụm bơm MHI + biến tần IVT – catalogue không in công suất, Q, H riêng – chưa có giá</t>
        </is>
      </c>
    </row>
    <row r="22">
      <c r="A22" s="49" t="n">
        <v>2</v>
      </c>
      <c r="B22" s="49" t="inlineStr">
        <is>
          <t>IVT-MHI203</t>
        </is>
      </c>
      <c r="C22" s="49" t="inlineStr">
        <is>
          <t>25/25</t>
        </is>
      </c>
      <c r="D22" s="49" t="n">
        <v>2.4</v>
      </c>
      <c r="E22" s="49" t="inlineStr">
        <is>
          <t>505 × 180 × 540</t>
        </is>
      </c>
      <c r="F22" s="49" t="n"/>
      <c r="G22" s="50" t="n"/>
      <c r="H22" s="50" t="n"/>
      <c r="I22" s="50" t="n"/>
      <c r="J22" s="50" t="n"/>
      <c r="K22" s="51" t="n"/>
      <c r="L22" s="51" t="n"/>
      <c r="M22" s="51" t="inlineStr">
        <is>
          <t>Có</t>
        </is>
      </c>
      <c r="N22" s="51" t="inlineStr">
        <is>
          <t>Có</t>
        </is>
      </c>
      <c r="O22" s="51" t="inlineStr">
        <is>
          <t>Có</t>
        </is>
      </c>
      <c r="P22" s="51" t="inlineStr">
        <is>
          <t>PEROTAC - Bơm trục ngang MHI.pdf, tr.3</t>
        </is>
      </c>
      <c r="Q22" s="51" t="inlineStr">
        <is>
          <t>Dòng MỚI: cụm bơm MHI + biến tần IVT – catalogue không in công suất, Q, H riêng – chưa có giá</t>
        </is>
      </c>
    </row>
    <row r="23">
      <c r="A23" s="49" t="n">
        <v>3</v>
      </c>
      <c r="B23" s="49" t="inlineStr">
        <is>
          <t>IVT-MHI402</t>
        </is>
      </c>
      <c r="C23" s="49" t="inlineStr">
        <is>
          <t>32/25</t>
        </is>
      </c>
      <c r="D23" s="49" t="n">
        <v>1.6</v>
      </c>
      <c r="E23" s="49" t="inlineStr">
        <is>
          <t>505 × 180 × 540</t>
        </is>
      </c>
      <c r="F23" s="49" t="n"/>
      <c r="G23" s="50" t="n"/>
      <c r="H23" s="50" t="n"/>
      <c r="I23" s="50" t="n"/>
      <c r="J23" s="50" t="n"/>
      <c r="K23" s="51" t="n"/>
      <c r="L23" s="51" t="n"/>
      <c r="M23" s="51" t="inlineStr">
        <is>
          <t>Có</t>
        </is>
      </c>
      <c r="N23" s="51" t="inlineStr">
        <is>
          <t>Có</t>
        </is>
      </c>
      <c r="O23" s="51" t="inlineStr">
        <is>
          <t>Có</t>
        </is>
      </c>
      <c r="P23" s="51" t="inlineStr">
        <is>
          <t>PEROTAC - Bơm trục ngang MHI.pdf, tr.3</t>
        </is>
      </c>
      <c r="Q23" s="51" t="inlineStr">
        <is>
          <t>Dòng MỚI: cụm bơm MHI + biến tần IVT – catalogue không in công suất, Q, H riêng – chưa có giá</t>
        </is>
      </c>
    </row>
    <row r="24">
      <c r="A24" s="49" t="n">
        <v>4</v>
      </c>
      <c r="B24" s="49" t="inlineStr">
        <is>
          <t>IVT-MHI403</t>
        </is>
      </c>
      <c r="C24" s="49" t="inlineStr">
        <is>
          <t>32/25</t>
        </is>
      </c>
      <c r="D24" s="49" t="n">
        <v>2.4</v>
      </c>
      <c r="E24" s="49" t="inlineStr">
        <is>
          <t>505 × 180 × 540</t>
        </is>
      </c>
      <c r="F24" s="49" t="n"/>
      <c r="G24" s="50" t="n"/>
      <c r="H24" s="50" t="n"/>
      <c r="I24" s="50" t="n"/>
      <c r="J24" s="50" t="n"/>
      <c r="K24" s="51" t="n"/>
      <c r="L24" s="51" t="n"/>
      <c r="M24" s="51" t="inlineStr">
        <is>
          <t>Có</t>
        </is>
      </c>
      <c r="N24" s="51" t="inlineStr">
        <is>
          <t>Có</t>
        </is>
      </c>
      <c r="O24" s="51" t="inlineStr">
        <is>
          <t>Có</t>
        </is>
      </c>
      <c r="P24" s="51" t="inlineStr">
        <is>
          <t>PEROTAC - Bơm trục ngang MHI.pdf, tr.3</t>
        </is>
      </c>
      <c r="Q24" s="51" t="inlineStr">
        <is>
          <t>Dòng MỚI: cụm bơm MHI + biến tần IVT – catalogue không in công suất, Q, H riêng – chưa có giá</t>
        </is>
      </c>
    </row>
    <row r="25">
      <c r="A25" s="49" t="n">
        <v>5</v>
      </c>
      <c r="B25" s="49" t="inlineStr">
        <is>
          <t>IVT-MHI404</t>
        </is>
      </c>
      <c r="C25" s="49" t="inlineStr">
        <is>
          <t>32/25</t>
        </is>
      </c>
      <c r="D25" s="49" t="n">
        <v>3</v>
      </c>
      <c r="E25" s="49" t="inlineStr">
        <is>
          <t>553 × 180 × 540</t>
        </is>
      </c>
      <c r="F25" s="49" t="n"/>
      <c r="G25" s="50" t="n"/>
      <c r="H25" s="50" t="n"/>
      <c r="I25" s="50" t="n"/>
      <c r="J25" s="50" t="n"/>
      <c r="K25" s="51" t="n"/>
      <c r="L25" s="51" t="n"/>
      <c r="M25" s="51" t="inlineStr">
        <is>
          <t>Có</t>
        </is>
      </c>
      <c r="N25" s="51" t="inlineStr">
        <is>
          <t>Có</t>
        </is>
      </c>
      <c r="O25" s="51" t="inlineStr">
        <is>
          <t>Có</t>
        </is>
      </c>
      <c r="P25" s="51" t="inlineStr">
        <is>
          <t>PEROTAC - Bơm trục ngang MHI.pdf, tr.3</t>
        </is>
      </c>
      <c r="Q25" s="51" t="inlineStr">
        <is>
          <t>Dòng MỚI: cụm bơm MHI + biến tần IVT – catalogue không in công suất, Q, H riêng – chưa có giá</t>
        </is>
      </c>
    </row>
    <row r="26">
      <c r="A26" s="49" t="n">
        <v>6</v>
      </c>
      <c r="B26" s="49" t="inlineStr">
        <is>
          <t>IVT-MHI405</t>
        </is>
      </c>
      <c r="C26" s="49" t="inlineStr">
        <is>
          <t>32/25</t>
        </is>
      </c>
      <c r="D26" s="49" t="n">
        <v>4</v>
      </c>
      <c r="E26" s="49" t="inlineStr">
        <is>
          <t>553 × 180 × 540</t>
        </is>
      </c>
      <c r="F26" s="49" t="n"/>
      <c r="G26" s="50" t="n"/>
      <c r="H26" s="50" t="n"/>
      <c r="I26" s="50" t="n"/>
      <c r="J26" s="50" t="n"/>
      <c r="K26" s="51" t="n"/>
      <c r="L26" s="51" t="n"/>
      <c r="M26" s="51" t="inlineStr">
        <is>
          <t>Có</t>
        </is>
      </c>
      <c r="N26" s="51" t="inlineStr">
        <is>
          <t>Có</t>
        </is>
      </c>
      <c r="O26" s="51" t="inlineStr">
        <is>
          <t>Có</t>
        </is>
      </c>
      <c r="P26" s="51" t="inlineStr">
        <is>
          <t>PEROTAC - Bơm trục ngang MHI.pdf, tr.3</t>
        </is>
      </c>
      <c r="Q26" s="51" t="inlineStr">
        <is>
          <t>Dòng MỚI: cụm bơm MHI + biến tần IVT – catalogue không in công suất, Q, H riêng – chưa có giá</t>
        </is>
      </c>
    </row>
    <row r="27">
      <c r="A27" s="49" t="n">
        <v>7</v>
      </c>
      <c r="B27" s="49" t="inlineStr">
        <is>
          <t>IVT-MHI406</t>
        </is>
      </c>
      <c r="C27" s="49" t="inlineStr">
        <is>
          <t>32/25</t>
        </is>
      </c>
      <c r="D27" s="49" t="n">
        <v>5</v>
      </c>
      <c r="E27" s="49" t="inlineStr">
        <is>
          <t>577 × 180 × 540</t>
        </is>
      </c>
      <c r="F27" s="49" t="n"/>
      <c r="G27" s="50" t="n"/>
      <c r="H27" s="50" t="n"/>
      <c r="I27" s="50" t="n"/>
      <c r="J27" s="50" t="n"/>
      <c r="K27" s="51" t="n"/>
      <c r="L27" s="51" t="n"/>
      <c r="M27" s="51" t="inlineStr">
        <is>
          <t>Có</t>
        </is>
      </c>
      <c r="N27" s="51" t="inlineStr">
        <is>
          <t>Có</t>
        </is>
      </c>
      <c r="O27" s="51" t="inlineStr">
        <is>
          <t>Có</t>
        </is>
      </c>
      <c r="P27" s="51" t="inlineStr">
        <is>
          <t>PEROTAC - Bơm trục ngang MHI.pdf, tr.3</t>
        </is>
      </c>
      <c r="Q27" s="51" t="inlineStr">
        <is>
          <t>Dòng MỚI: cụm bơm MHI + biến tần IVT – catalogue không in công suất, Q, H riêng – chưa có giá</t>
        </is>
      </c>
    </row>
    <row r="28">
      <c r="A28" s="49" t="n">
        <v>8</v>
      </c>
      <c r="B28" s="49" t="inlineStr">
        <is>
          <t>IVT-MHI802</t>
        </is>
      </c>
      <c r="C28" s="49" t="inlineStr">
        <is>
          <t>40/32</t>
        </is>
      </c>
      <c r="D28" s="49" t="n">
        <v>1.6</v>
      </c>
      <c r="E28" s="49" t="inlineStr">
        <is>
          <t>517 × 180 × 540</t>
        </is>
      </c>
      <c r="F28" s="49" t="n"/>
      <c r="G28" s="50" t="n"/>
      <c r="H28" s="50" t="n"/>
      <c r="I28" s="50" t="n"/>
      <c r="J28" s="50" t="n"/>
      <c r="K28" s="51" t="n"/>
      <c r="L28" s="51" t="n"/>
      <c r="M28" s="51" t="inlineStr">
        <is>
          <t>Có</t>
        </is>
      </c>
      <c r="N28" s="51" t="inlineStr">
        <is>
          <t>Có</t>
        </is>
      </c>
      <c r="O28" s="51" t="inlineStr">
        <is>
          <t>Có</t>
        </is>
      </c>
      <c r="P28" s="51" t="inlineStr">
        <is>
          <t>PEROTAC - Bơm trục ngang MHI.pdf, tr.3</t>
        </is>
      </c>
      <c r="Q28" s="51" t="inlineStr">
        <is>
          <t>Dòng MỚI: cụm bơm MHI + biến tần IVT – catalogue không in công suất, Q, H riêng – chưa có giá</t>
        </is>
      </c>
    </row>
    <row r="29">
      <c r="A29" s="49" t="n">
        <v>9</v>
      </c>
      <c r="B29" s="49" t="inlineStr">
        <is>
          <t>IVT-MHI803</t>
        </is>
      </c>
      <c r="C29" s="49" t="inlineStr">
        <is>
          <t>40/32</t>
        </is>
      </c>
      <c r="D29" s="49" t="n">
        <v>2.4</v>
      </c>
      <c r="E29" s="49" t="inlineStr">
        <is>
          <t>517 × 180 × 540</t>
        </is>
      </c>
      <c r="F29" s="49" t="n"/>
      <c r="G29" s="50" t="n"/>
      <c r="H29" s="50" t="n"/>
      <c r="I29" s="50" t="n"/>
      <c r="J29" s="50" t="n"/>
      <c r="K29" s="51" t="n"/>
      <c r="L29" s="51" t="n"/>
      <c r="M29" s="51" t="inlineStr">
        <is>
          <t>Có</t>
        </is>
      </c>
      <c r="N29" s="51" t="inlineStr">
        <is>
          <t>Có</t>
        </is>
      </c>
      <c r="O29" s="51" t="inlineStr">
        <is>
          <t>Có</t>
        </is>
      </c>
      <c r="P29" s="51" t="inlineStr">
        <is>
          <t>PEROTAC - Bơm trục ngang MHI.pdf, tr.3</t>
        </is>
      </c>
      <c r="Q29" s="51" t="inlineStr">
        <is>
          <t>Dòng MỚI: cụm bơm MHI + biến tần IVT – catalogue không in công suất, Q, H riêng – chưa có giá</t>
        </is>
      </c>
    </row>
    <row r="30">
      <c r="A30" s="49" t="n">
        <v>10</v>
      </c>
      <c r="B30" s="49" t="inlineStr">
        <is>
          <t>IVT-MHI804</t>
        </is>
      </c>
      <c r="C30" s="49" t="inlineStr">
        <is>
          <t>40/32</t>
        </is>
      </c>
      <c r="D30" s="49" t="n">
        <v>3</v>
      </c>
      <c r="E30" s="49" t="inlineStr">
        <is>
          <t>517 × 180 × 540</t>
        </is>
      </c>
      <c r="F30" s="49" t="n"/>
      <c r="G30" s="50" t="n"/>
      <c r="H30" s="50" t="n"/>
      <c r="I30" s="50" t="n"/>
      <c r="J30" s="50" t="n"/>
      <c r="K30" s="51" t="n"/>
      <c r="L30" s="51" t="n"/>
      <c r="M30" s="51" t="inlineStr">
        <is>
          <t>Có</t>
        </is>
      </c>
      <c r="N30" s="51" t="inlineStr">
        <is>
          <t>Có</t>
        </is>
      </c>
      <c r="O30" s="51" t="inlineStr">
        <is>
          <t>Có</t>
        </is>
      </c>
      <c r="P30" s="51" t="inlineStr">
        <is>
          <t>PEROTAC - Bơm trục ngang MHI.pdf, tr.3</t>
        </is>
      </c>
      <c r="Q30" s="51" t="inlineStr">
        <is>
          <t>Dòng MỚI: cụm bơm MHI + biến tần IVT – catalogue không in công suất, Q, H riêng – chưa có giá</t>
        </is>
      </c>
    </row>
    <row r="31">
      <c r="A31" s="49" t="n">
        <v>11</v>
      </c>
      <c r="B31" s="49" t="inlineStr">
        <is>
          <t>IVT-MHI805</t>
        </is>
      </c>
      <c r="C31" s="49" t="inlineStr">
        <is>
          <t>40/32</t>
        </is>
      </c>
      <c r="D31" s="49" t="n">
        <v>4</v>
      </c>
      <c r="E31" s="49" t="inlineStr">
        <is>
          <t>517 × 180 × 540</t>
        </is>
      </c>
      <c r="F31" s="49" t="n"/>
      <c r="G31" s="50" t="n"/>
      <c r="H31" s="50" t="n"/>
      <c r="I31" s="50" t="n"/>
      <c r="J31" s="50" t="n"/>
      <c r="K31" s="51" t="n"/>
      <c r="L31" s="51" t="n"/>
      <c r="M31" s="51" t="inlineStr">
        <is>
          <t>Có</t>
        </is>
      </c>
      <c r="N31" s="51" t="inlineStr">
        <is>
          <t>Có</t>
        </is>
      </c>
      <c r="O31" s="51" t="inlineStr">
        <is>
          <t>Có</t>
        </is>
      </c>
      <c r="P31" s="51" t="inlineStr">
        <is>
          <t>PEROTAC - Bơm trục ngang MHI.pdf, tr.3</t>
        </is>
      </c>
      <c r="Q31" s="51" t="inlineStr">
        <is>
          <t>Dòng MỚI: cụm bơm MHI + biến tần IVT – catalogue không in công suất, Q, H riêng – chưa có giá</t>
        </is>
      </c>
    </row>
    <row r="32">
      <c r="A32" s="49" t="n">
        <v>12</v>
      </c>
      <c r="B32" s="49" t="inlineStr">
        <is>
          <t>IVT-MHI1602</t>
        </is>
      </c>
      <c r="C32" s="49" t="inlineStr">
        <is>
          <t>50/40</t>
        </is>
      </c>
      <c r="D32" s="49" t="n">
        <v>1.6</v>
      </c>
      <c r="E32" s="49" t="inlineStr">
        <is>
          <t>537 × 180 × 540</t>
        </is>
      </c>
      <c r="F32" s="49" t="n"/>
      <c r="G32" s="50" t="n"/>
      <c r="H32" s="50" t="n"/>
      <c r="I32" s="50" t="n"/>
      <c r="J32" s="50" t="n"/>
      <c r="K32" s="51" t="n"/>
      <c r="L32" s="51" t="n"/>
      <c r="M32" s="51" t="inlineStr">
        <is>
          <t>Có</t>
        </is>
      </c>
      <c r="N32" s="51" t="inlineStr">
        <is>
          <t>Có</t>
        </is>
      </c>
      <c r="O32" s="51" t="inlineStr">
        <is>
          <t>Có</t>
        </is>
      </c>
      <c r="P32" s="51" t="inlineStr">
        <is>
          <t>PEROTAC - Bơm trục ngang MHI.pdf, tr.3</t>
        </is>
      </c>
      <c r="Q32" s="51" t="inlineStr">
        <is>
          <t>Dòng MỚI: cụm bơm MHI + biến tần IVT – catalogue không in công suất, Q, H riêng – chưa có giá</t>
        </is>
      </c>
    </row>
    <row r="33">
      <c r="A33" s="49" t="n">
        <v>13</v>
      </c>
      <c r="B33" s="49" t="inlineStr">
        <is>
          <t>IVT-MHI1603</t>
        </is>
      </c>
      <c r="C33" s="49" t="inlineStr">
        <is>
          <t>50/40</t>
        </is>
      </c>
      <c r="D33" s="49" t="n">
        <v>2.4</v>
      </c>
      <c r="E33" s="49" t="inlineStr">
        <is>
          <t>537 × 180 × 540</t>
        </is>
      </c>
      <c r="F33" s="49" t="n"/>
      <c r="G33" s="50" t="n"/>
      <c r="H33" s="50" t="n"/>
      <c r="I33" s="50" t="n"/>
      <c r="J33" s="50" t="n"/>
      <c r="K33" s="51" t="n"/>
      <c r="L33" s="51" t="n"/>
      <c r="M33" s="51" t="inlineStr">
        <is>
          <t>Có</t>
        </is>
      </c>
      <c r="N33" s="51" t="inlineStr">
        <is>
          <t>Có</t>
        </is>
      </c>
      <c r="O33" s="51" t="inlineStr">
        <is>
          <t>Có</t>
        </is>
      </c>
      <c r="P33" s="51" t="inlineStr">
        <is>
          <t>PEROTAC - Bơm trục ngang MHI.pdf, tr.3</t>
        </is>
      </c>
      <c r="Q33" s="51" t="inlineStr">
        <is>
          <t>Dòng MỚI: cụm bơm MHI + biến tần IVT – catalogue không in công suất, Q, H riêng – chưa có giá</t>
        </is>
      </c>
    </row>
    <row r="34">
      <c r="A34" s="49" t="n">
        <v>14</v>
      </c>
      <c r="B34" s="49" t="inlineStr">
        <is>
          <t>IVT-MHI1604</t>
        </is>
      </c>
      <c r="C34" s="49" t="inlineStr">
        <is>
          <t>50/40</t>
        </is>
      </c>
      <c r="D34" s="49" t="n">
        <v>3</v>
      </c>
      <c r="E34" s="49" t="inlineStr">
        <is>
          <t>582 × 210 × 590</t>
        </is>
      </c>
      <c r="F34" s="49" t="n"/>
      <c r="G34" s="50" t="n"/>
      <c r="H34" s="50" t="n"/>
      <c r="I34" s="50" t="n"/>
      <c r="J34" s="50" t="n"/>
      <c r="K34" s="51" t="n"/>
      <c r="L34" s="51" t="n"/>
      <c r="M34" s="51" t="inlineStr">
        <is>
          <t>Có</t>
        </is>
      </c>
      <c r="N34" s="51" t="inlineStr">
        <is>
          <t>Có</t>
        </is>
      </c>
      <c r="O34" s="51" t="inlineStr">
        <is>
          <t>Có</t>
        </is>
      </c>
      <c r="P34" s="51" t="inlineStr">
        <is>
          <t>PEROTAC - Bơm trục ngang MHI.pdf, tr.3</t>
        </is>
      </c>
      <c r="Q34" s="51" t="inlineStr">
        <is>
          <t>Dòng MỚI: cụm bơm MHI + biến tần IVT – catalogue không in công suất, Q, H riêng – chưa có giá</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36"/>
  <sheetViews>
    <sheetView zoomScaleNormal="100" workbookViewId="0">
      <pane xSplit="2" ySplit="1" topLeftCell="C2" activePane="bottomRight" state="frozen"/>
      <selection pane="topRight" activeCell="A1" sqref="A1"/>
      <selection pane="bottomLeft" activeCell="A1" sqref="A1"/>
      <selection pane="bottomRight" activeCell="B9" sqref="B9"/>
    </sheetView>
  </sheetViews>
  <sheetFormatPr baseColWidth="8" defaultColWidth="8.7109375" defaultRowHeight="15"/>
  <cols>
    <col width="5" customWidth="1" style="1" min="1" max="1"/>
    <col width="26.5703125" customWidth="1" style="1" min="2" max="2"/>
    <col width="12" customWidth="1" style="1" min="3" max="4"/>
    <col width="13" customWidth="1" style="1" min="5" max="10"/>
    <col width="14" customWidth="1" style="1" min="11" max="12"/>
    <col width="16" customWidth="1" style="1" min="13" max="13"/>
    <col width="16" customWidth="1" style="1" min="14" max="14"/>
    <col width="16" customWidth="1" style="1" min="15" max="15"/>
    <col width="16" customWidth="1" style="1" min="16" max="16"/>
    <col width="40" customWidth="1" style="1" min="17" max="17"/>
    <col width="45" customWidth="1" style="1" min="18" max="18"/>
  </cols>
  <sheetData>
    <row r="1" ht="30" customHeight="1" s="1">
      <c r="A1" s="2" t="inlineStr">
        <is>
          <t>STT</t>
        </is>
      </c>
      <c r="B1" s="2" t="inlineStr">
        <is>
          <t>MODEL</t>
        </is>
      </c>
      <c r="C1" s="2" t="inlineStr">
        <is>
          <t>Công suất (kW)</t>
        </is>
      </c>
      <c r="D1" s="2" t="inlineStr">
        <is>
          <t>Họng hút/xả (mm)</t>
        </is>
      </c>
      <c r="E1" s="2" t="inlineStr">
        <is>
          <t>Lưu lượng max (m3/h)</t>
        </is>
      </c>
      <c r="F1" s="2" t="inlineStr">
        <is>
          <t>Cột áp max (m)</t>
        </is>
      </c>
      <c r="G1" s="3" t="inlineStr">
        <is>
          <t>REDPUMP</t>
        </is>
      </c>
      <c r="H1" s="4" t="inlineStr">
        <is>
          <t>PEROTAC</t>
        </is>
      </c>
      <c r="I1" s="5" t="inlineStr">
        <is>
          <t>AQUARIS</t>
        </is>
      </c>
      <c r="J1" s="6" t="inlineStr">
        <is>
          <t>Giá nhập Tý</t>
        </is>
      </c>
      <c r="K1" s="6" t="inlineStr">
        <is>
          <t>Giá nhập ĐL</t>
        </is>
      </c>
      <c r="L1" s="6" t="inlineStr">
        <is>
          <t>Giá nhập HT</t>
        </is>
      </c>
      <c r="M1" s="42" t="inlineStr">
        <is>
          <t>Có trong catalogue REDPUMP</t>
        </is>
      </c>
      <c r="N1" s="42" t="inlineStr">
        <is>
          <t>Có trong catalogue PEROTAC</t>
        </is>
      </c>
      <c r="O1" s="42" t="inlineStr">
        <is>
          <t>Có trong catalogue AQUARIS</t>
        </is>
      </c>
      <c r="P1" s="42" t="inlineStr">
        <is>
          <t>Họng xả ghi trong catalogue</t>
        </is>
      </c>
      <c r="Q1" s="42" t="inlineStr">
        <is>
          <t>Nguồn thông số (catalogue đã duyệt)</t>
        </is>
      </c>
      <c r="R1" s="42" t="inlineStr">
        <is>
          <t>Ghi chú</t>
        </is>
      </c>
    </row>
    <row r="2" ht="18" customHeight="1" s="1">
      <c r="A2" s="8" t="n">
        <v>1</v>
      </c>
      <c r="B2" s="8" t="inlineStr">
        <is>
          <t>CDX90/10-0.75KW-380V</t>
        </is>
      </c>
      <c r="C2" s="8" t="n">
        <v>0.75</v>
      </c>
      <c r="D2" s="8" t="inlineStr">
        <is>
          <t>42-34</t>
        </is>
      </c>
      <c r="E2" s="43" t="n">
        <v>6.6</v>
      </c>
      <c r="F2" s="43" t="n">
        <v>30.3</v>
      </c>
      <c r="G2" s="9" t="n">
        <v>2600000</v>
      </c>
      <c r="H2" s="10" t="n">
        <v>3000000</v>
      </c>
      <c r="I2" s="23">
        <f>H2*2</f>
        <v/>
      </c>
      <c r="J2" s="12" t="n">
        <v>2050000</v>
      </c>
      <c r="K2" s="8" t="n"/>
      <c r="L2" s="8" t="n"/>
      <c r="M2" s="8" t="inlineStr">
        <is>
          <t>Có</t>
        </is>
      </c>
      <c r="N2" s="8" t="inlineStr">
        <is>
          <t>Có</t>
        </is>
      </c>
      <c r="O2" s="8" t="inlineStr">
        <is>
          <t>Có</t>
        </is>
      </c>
      <c r="P2" s="8" t="inlineStr">
        <is>
          <t>G1¼ × 1"</t>
        </is>
      </c>
      <c r="Q2" s="8" t="inlineStr">
        <is>
          <t>PEROTAC - Bơm trục ngang CDX.pdf, tr.2 (hãng khác: REDPUMP, AQUARIS)</t>
        </is>
      </c>
    </row>
    <row r="3" ht="18" customHeight="1" s="1">
      <c r="A3" s="14" t="n">
        <v>2</v>
      </c>
      <c r="B3" s="14" t="inlineStr">
        <is>
          <t>CDXM90/10-0.75KW-220V</t>
        </is>
      </c>
      <c r="C3" s="14" t="n">
        <v>0.75</v>
      </c>
      <c r="D3" s="14" t="inlineStr">
        <is>
          <t>42 - 34</t>
        </is>
      </c>
      <c r="E3" s="43" t="n">
        <v>6.6</v>
      </c>
      <c r="F3" s="43" t="n">
        <v>30.3</v>
      </c>
      <c r="G3" s="9" t="n">
        <v>2600000</v>
      </c>
      <c r="H3" s="10" t="n">
        <v>3000000</v>
      </c>
      <c r="I3" s="23">
        <f>H3*2</f>
        <v/>
      </c>
      <c r="J3" s="15" t="n">
        <v>2050000</v>
      </c>
      <c r="K3" s="14" t="n"/>
      <c r="L3" s="14" t="n"/>
      <c r="M3" s="14" t="inlineStr">
        <is>
          <t>Có</t>
        </is>
      </c>
      <c r="N3" s="14" t="inlineStr">
        <is>
          <t>Có</t>
        </is>
      </c>
      <c r="O3" s="14" t="inlineStr">
        <is>
          <t>Có</t>
        </is>
      </c>
      <c r="P3" s="14" t="inlineStr">
        <is>
          <t>G1¼ × 1"</t>
        </is>
      </c>
      <c r="Q3" s="14" t="inlineStr">
        <is>
          <t>PEROTAC - Bơm trục ngang CDX.pdf, tr.2 (hãng khác: REDPUMP, AQUARIS)</t>
        </is>
      </c>
    </row>
    <row r="4" ht="18" customHeight="1" s="1">
      <c r="A4" s="8" t="n">
        <v>3</v>
      </c>
      <c r="B4" s="8" t="inlineStr">
        <is>
          <t>CDX120/15-1.1KW-380V</t>
        </is>
      </c>
      <c r="C4" s="8" t="n">
        <v>1.1</v>
      </c>
      <c r="D4" s="8" t="inlineStr">
        <is>
          <t>42 - 34</t>
        </is>
      </c>
      <c r="E4" s="8" t="n">
        <v>10.8</v>
      </c>
      <c r="F4" s="8" t="n">
        <v>24</v>
      </c>
      <c r="G4" s="9" t="n">
        <v>3300000</v>
      </c>
      <c r="H4" s="10" t="n">
        <v>3800000</v>
      </c>
      <c r="I4" s="23">
        <f>H4*2</f>
        <v/>
      </c>
      <c r="J4" s="12" t="n">
        <v>2600000</v>
      </c>
      <c r="K4" s="8" t="n"/>
      <c r="L4" s="8" t="n"/>
      <c r="R4" s="44" t="inlineStr">
        <is>
          <t>Không có trong catalogue đã duyệt – giữ nguyên thông số cũ</t>
        </is>
      </c>
    </row>
    <row r="5" ht="18" customHeight="1" s="1">
      <c r="A5" s="14" t="n">
        <v>4</v>
      </c>
      <c r="B5" s="14" t="inlineStr">
        <is>
          <t>CDXM120/15-1.1KW-220V</t>
        </is>
      </c>
      <c r="C5" s="14" t="n">
        <v>1.1</v>
      </c>
      <c r="D5" s="14" t="inlineStr">
        <is>
          <t>42 - 34</t>
        </is>
      </c>
      <c r="E5" s="14" t="n">
        <v>10.8</v>
      </c>
      <c r="F5" s="14" t="n">
        <v>28</v>
      </c>
      <c r="G5" s="9" t="n">
        <v>3300000</v>
      </c>
      <c r="H5" s="10" t="n">
        <v>3800000</v>
      </c>
      <c r="I5" s="23">
        <f>H5*2</f>
        <v/>
      </c>
      <c r="J5" s="15" t="n">
        <v>2600000</v>
      </c>
      <c r="K5" s="14" t="n"/>
      <c r="L5" s="14" t="n"/>
      <c r="R5" s="44" t="inlineStr">
        <is>
          <t>Không có trong catalogue đã duyệt – giữ nguyên thông số cũ</t>
        </is>
      </c>
    </row>
    <row r="6" ht="18" customHeight="1" s="1">
      <c r="A6" s="8" t="n">
        <v>5</v>
      </c>
      <c r="B6" s="8" t="inlineStr">
        <is>
          <t>CDX120/20-1.5KW-380V</t>
        </is>
      </c>
      <c r="C6" s="8" t="n">
        <v>1.5</v>
      </c>
      <c r="D6" s="8" t="inlineStr">
        <is>
          <t>42 - 34</t>
        </is>
      </c>
      <c r="E6" s="43" t="n">
        <v>9.6</v>
      </c>
      <c r="F6" s="43" t="n">
        <v>37.5</v>
      </c>
      <c r="G6" s="9" t="n">
        <v>4000000</v>
      </c>
      <c r="H6" s="10" t="n">
        <v>4600000</v>
      </c>
      <c r="I6" s="23">
        <f>H6*2</f>
        <v/>
      </c>
      <c r="J6" s="12" t="n">
        <v>3200000</v>
      </c>
      <c r="K6" s="8" t="n"/>
      <c r="L6" s="8" t="n"/>
      <c r="M6" s="8" t="inlineStr">
        <is>
          <t>Có</t>
        </is>
      </c>
      <c r="N6" s="8" t="inlineStr">
        <is>
          <t>Có</t>
        </is>
      </c>
      <c r="O6" s="8" t="inlineStr">
        <is>
          <t>Có</t>
        </is>
      </c>
      <c r="P6" s="8" t="inlineStr">
        <is>
          <t>G1¼ × 1"</t>
        </is>
      </c>
      <c r="Q6" s="8" t="inlineStr">
        <is>
          <t>PEROTAC - Bơm trục ngang CDX.pdf, tr.2 (hãng khác: REDPUMP, AQUARIS)</t>
        </is>
      </c>
    </row>
    <row r="7" ht="18" customHeight="1" s="1">
      <c r="A7" s="14" t="n">
        <v>6</v>
      </c>
      <c r="B7" s="14" t="inlineStr">
        <is>
          <t>CDXM120/20-1.5KW-220V</t>
        </is>
      </c>
      <c r="C7" s="14" t="n">
        <v>1.5</v>
      </c>
      <c r="D7" s="14" t="inlineStr">
        <is>
          <t>42 - 34</t>
        </is>
      </c>
      <c r="E7" s="43" t="n">
        <v>9.6</v>
      </c>
      <c r="F7" s="43" t="n">
        <v>37.5</v>
      </c>
      <c r="G7" s="9" t="n">
        <v>4000000</v>
      </c>
      <c r="H7" s="10" t="n">
        <v>4600000</v>
      </c>
      <c r="I7" s="23">
        <f>H7*2</f>
        <v/>
      </c>
      <c r="J7" s="15" t="n">
        <v>3200000</v>
      </c>
      <c r="K7" s="14" t="n"/>
      <c r="L7" s="14" t="n"/>
      <c r="M7" s="14" t="inlineStr">
        <is>
          <t>Có</t>
        </is>
      </c>
      <c r="N7" s="14" t="inlineStr">
        <is>
          <t>Có</t>
        </is>
      </c>
      <c r="O7" s="14" t="inlineStr">
        <is>
          <t>Có</t>
        </is>
      </c>
      <c r="P7" s="14" t="inlineStr">
        <is>
          <t>G1¼ × 1"</t>
        </is>
      </c>
      <c r="Q7" s="14" t="inlineStr">
        <is>
          <t>PEROTAC - Bơm trục ngang CDX.pdf, tr.2 (hãng khác: REDPUMP, AQUARIS)</t>
        </is>
      </c>
    </row>
    <row r="8" ht="18" customHeight="1" s="1">
      <c r="A8" s="49" t="n"/>
      <c r="B8" s="49" t="inlineStr">
        <is>
          <t>2CDX70/10-0.75KW-380V</t>
        </is>
      </c>
      <c r="C8" s="49" t="n">
        <v>0.75</v>
      </c>
      <c r="D8" s="49" t="inlineStr">
        <is>
          <t>42-34</t>
        </is>
      </c>
      <c r="E8" s="49" t="n">
        <v>4.8</v>
      </c>
      <c r="F8" s="49" t="n">
        <v>38.5</v>
      </c>
      <c r="G8" s="50" t="n"/>
      <c r="H8" s="50" t="n"/>
      <c r="I8" s="52" t="n"/>
      <c r="J8" s="50" t="n"/>
      <c r="K8" s="49" t="n"/>
      <c r="L8" s="49" t="n"/>
      <c r="M8" s="49" t="inlineStr">
        <is>
          <t>Có</t>
        </is>
      </c>
      <c r="N8" s="49" t="inlineStr">
        <is>
          <t>Có</t>
        </is>
      </c>
      <c r="O8" s="49" t="inlineStr">
        <is>
          <t>Có</t>
        </is>
      </c>
      <c r="P8" s="49" t="inlineStr">
        <is>
          <t>G1¼ × 1"</t>
        </is>
      </c>
      <c r="Q8" s="49" t="inlineStr">
        <is>
          <t>PEROTAC - Bơm trục ngang 2CDX.pdf, tr.1</t>
        </is>
      </c>
      <c r="R8" s="53" t="inlineStr">
        <is>
          <t>Dòng MỚI từ catalogue 2CDX – chưa có giá nhập/giá bán</t>
        </is>
      </c>
    </row>
    <row r="9" ht="18" customHeight="1" s="1">
      <c r="A9" s="49" t="n"/>
      <c r="B9" s="49" t="inlineStr">
        <is>
          <t>2CDXM70/10-0.75KW-220V</t>
        </is>
      </c>
      <c r="C9" s="49" t="n">
        <v>0.75</v>
      </c>
      <c r="D9" s="49" t="inlineStr">
        <is>
          <t>42-34</t>
        </is>
      </c>
      <c r="E9" s="49" t="n">
        <v>4.8</v>
      </c>
      <c r="F9" s="49" t="n">
        <v>38.5</v>
      </c>
      <c r="G9" s="50" t="n"/>
      <c r="H9" s="50" t="n"/>
      <c r="I9" s="52" t="n"/>
      <c r="J9" s="50" t="n"/>
      <c r="K9" s="49" t="n"/>
      <c r="L9" s="49" t="n"/>
      <c r="M9" s="49" t="inlineStr">
        <is>
          <t>Có</t>
        </is>
      </c>
      <c r="N9" s="49" t="inlineStr">
        <is>
          <t>Có</t>
        </is>
      </c>
      <c r="O9" s="49" t="inlineStr">
        <is>
          <t>Có</t>
        </is>
      </c>
      <c r="P9" s="49" t="inlineStr">
        <is>
          <t>G1¼ × 1"</t>
        </is>
      </c>
      <c r="Q9" s="49" t="inlineStr">
        <is>
          <t>PEROTAC - Bơm trục ngang 2CDX.pdf, tr.1</t>
        </is>
      </c>
      <c r="R9" s="53" t="inlineStr">
        <is>
          <t>Dòng MỚI từ catalogue 2CDX – chưa có giá nhập/giá bán</t>
        </is>
      </c>
    </row>
    <row r="10" ht="18" customHeight="1" s="1">
      <c r="A10" s="49" t="n"/>
      <c r="B10" s="49" t="inlineStr">
        <is>
          <t>2CDX70/12-0.9KW-380V</t>
        </is>
      </c>
      <c r="C10" s="49" t="n">
        <v>0.9</v>
      </c>
      <c r="D10" s="49" t="inlineStr">
        <is>
          <t>42-34</t>
        </is>
      </c>
      <c r="E10" s="49" t="n">
        <v>4.8</v>
      </c>
      <c r="F10" s="49" t="n">
        <v>44.5</v>
      </c>
      <c r="G10" s="50" t="n"/>
      <c r="H10" s="50" t="n"/>
      <c r="I10" s="52" t="n"/>
      <c r="J10" s="50" t="n"/>
      <c r="K10" s="49" t="n"/>
      <c r="L10" s="49" t="n"/>
      <c r="M10" s="49" t="inlineStr">
        <is>
          <t>Có</t>
        </is>
      </c>
      <c r="N10" s="49" t="inlineStr">
        <is>
          <t>Có</t>
        </is>
      </c>
      <c r="O10" s="49" t="inlineStr">
        <is>
          <t>Có</t>
        </is>
      </c>
      <c r="P10" s="49" t="inlineStr">
        <is>
          <t>G1¼ × 1"</t>
        </is>
      </c>
      <c r="Q10" s="49" t="inlineStr">
        <is>
          <t>PEROTAC - Bơm trục ngang 2CDX.pdf, tr.1</t>
        </is>
      </c>
      <c r="R10" s="53" t="inlineStr">
        <is>
          <t>Dòng MỚI từ catalogue 2CDX – chưa có giá nhập/giá bán</t>
        </is>
      </c>
    </row>
    <row r="11" ht="18" customHeight="1" s="1">
      <c r="A11" s="49" t="n"/>
      <c r="B11" s="49" t="inlineStr">
        <is>
          <t>2CDXM70/12-0.9KW-220V</t>
        </is>
      </c>
      <c r="C11" s="49" t="n">
        <v>0.9</v>
      </c>
      <c r="D11" s="49" t="inlineStr">
        <is>
          <t>42-34</t>
        </is>
      </c>
      <c r="E11" s="49" t="n">
        <v>4.8</v>
      </c>
      <c r="F11" s="49" t="n">
        <v>44.5</v>
      </c>
      <c r="G11" s="50" t="n"/>
      <c r="H11" s="50" t="n"/>
      <c r="I11" s="52" t="n"/>
      <c r="J11" s="50" t="n"/>
      <c r="K11" s="49" t="n"/>
      <c r="L11" s="49" t="n"/>
      <c r="M11" s="49" t="inlineStr">
        <is>
          <t>Có</t>
        </is>
      </c>
      <c r="N11" s="49" t="inlineStr">
        <is>
          <t>Có</t>
        </is>
      </c>
      <c r="O11" s="49" t="inlineStr">
        <is>
          <t>Có</t>
        </is>
      </c>
      <c r="P11" s="49" t="inlineStr">
        <is>
          <t>G1¼ × 1"</t>
        </is>
      </c>
      <c r="Q11" s="49" t="inlineStr">
        <is>
          <t>PEROTAC - Bơm trục ngang 2CDX.pdf, tr.1</t>
        </is>
      </c>
      <c r="R11" s="53" t="inlineStr">
        <is>
          <t>Dòng MỚI từ catalogue 2CDX – chưa có giá nhập/giá bán</t>
        </is>
      </c>
    </row>
    <row r="12" ht="18" customHeight="1" s="1">
      <c r="A12" s="49" t="n"/>
      <c r="B12" s="49" t="inlineStr">
        <is>
          <t>2CDX70/15-1.1KW-380V</t>
        </is>
      </c>
      <c r="C12" s="49" t="n">
        <v>1.1</v>
      </c>
      <c r="D12" s="49" t="inlineStr">
        <is>
          <t>42-34</t>
        </is>
      </c>
      <c r="E12" s="49" t="n">
        <v>4.8</v>
      </c>
      <c r="F12" s="49" t="n">
        <v>52.5</v>
      </c>
      <c r="G12" s="50" t="n"/>
      <c r="H12" s="50" t="n"/>
      <c r="I12" s="52" t="n"/>
      <c r="J12" s="50" t="n"/>
      <c r="K12" s="49" t="n"/>
      <c r="L12" s="49" t="n"/>
      <c r="M12" s="49" t="inlineStr">
        <is>
          <t>Có</t>
        </is>
      </c>
      <c r="N12" s="49" t="inlineStr">
        <is>
          <t>Có</t>
        </is>
      </c>
      <c r="O12" s="49" t="inlineStr">
        <is>
          <t>Có</t>
        </is>
      </c>
      <c r="P12" s="49" t="inlineStr">
        <is>
          <t>G1¼ × 1"</t>
        </is>
      </c>
      <c r="Q12" s="49" t="inlineStr">
        <is>
          <t>PEROTAC - Bơm trục ngang 2CDX.pdf, tr.1</t>
        </is>
      </c>
      <c r="R12" s="53" t="inlineStr">
        <is>
          <t>Dòng MỚI từ catalogue 2CDX – chưa có giá nhập/giá bán</t>
        </is>
      </c>
    </row>
    <row r="13" ht="18" customHeight="1" s="1">
      <c r="A13" s="49" t="n"/>
      <c r="B13" s="49" t="inlineStr">
        <is>
          <t>2CDXM70/15-1.1KW-220V</t>
        </is>
      </c>
      <c r="C13" s="49" t="n">
        <v>1.1</v>
      </c>
      <c r="D13" s="49" t="inlineStr">
        <is>
          <t>42-34</t>
        </is>
      </c>
      <c r="E13" s="49" t="n">
        <v>4.8</v>
      </c>
      <c r="F13" s="49" t="n">
        <v>52.5</v>
      </c>
      <c r="G13" s="50" t="n"/>
      <c r="H13" s="50" t="n"/>
      <c r="I13" s="52" t="n"/>
      <c r="J13" s="50" t="n"/>
      <c r="K13" s="49" t="n"/>
      <c r="L13" s="49" t="n"/>
      <c r="M13" s="49" t="inlineStr">
        <is>
          <t>Có</t>
        </is>
      </c>
      <c r="N13" s="49" t="inlineStr">
        <is>
          <t>Có</t>
        </is>
      </c>
      <c r="O13" s="49" t="inlineStr">
        <is>
          <t>Có</t>
        </is>
      </c>
      <c r="P13" s="49" t="inlineStr">
        <is>
          <t>G1¼ × 1"</t>
        </is>
      </c>
      <c r="Q13" s="49" t="inlineStr">
        <is>
          <t>PEROTAC - Bơm trục ngang 2CDX.pdf, tr.1</t>
        </is>
      </c>
      <c r="R13" s="53" t="inlineStr">
        <is>
          <t>Dòng MỚI từ catalogue 2CDX – chưa có giá nhập/giá bán</t>
        </is>
      </c>
    </row>
    <row r="14" ht="18" customHeight="1" s="1">
      <c r="A14" s="49" t="n"/>
      <c r="B14" s="49" t="inlineStr">
        <is>
          <t>2CDX70/20-1.5KW-380V</t>
        </is>
      </c>
      <c r="C14" s="49" t="n">
        <v>1.5</v>
      </c>
      <c r="D14" s="49" t="inlineStr">
        <is>
          <t>42-34</t>
        </is>
      </c>
      <c r="E14" s="49" t="n">
        <v>4.8</v>
      </c>
      <c r="F14" s="49" t="n">
        <v>60</v>
      </c>
      <c r="G14" s="50" t="n"/>
      <c r="H14" s="50" t="n"/>
      <c r="I14" s="52" t="n"/>
      <c r="J14" s="50" t="n"/>
      <c r="K14" s="49" t="n"/>
      <c r="L14" s="49" t="n"/>
      <c r="M14" s="49" t="inlineStr">
        <is>
          <t>Có</t>
        </is>
      </c>
      <c r="N14" s="49" t="inlineStr">
        <is>
          <t>Có</t>
        </is>
      </c>
      <c r="O14" s="49" t="inlineStr">
        <is>
          <t>Có</t>
        </is>
      </c>
      <c r="P14" s="49" t="inlineStr">
        <is>
          <t>G1¼ × 1"</t>
        </is>
      </c>
      <c r="Q14" s="49" t="inlineStr">
        <is>
          <t>PEROTAC - Bơm trục ngang 2CDX.pdf, tr.1</t>
        </is>
      </c>
      <c r="R14" s="53" t="inlineStr">
        <is>
          <t>Dòng MỚI từ catalogue 2CDX – chưa có giá nhập/giá bán</t>
        </is>
      </c>
    </row>
    <row r="15" ht="18" customHeight="1" s="1">
      <c r="A15" s="49" t="n"/>
      <c r="B15" s="49" t="inlineStr">
        <is>
          <t>2CDXM70/20-1.5KW-220V</t>
        </is>
      </c>
      <c r="C15" s="49" t="n">
        <v>1.5</v>
      </c>
      <c r="D15" s="49" t="inlineStr">
        <is>
          <t>42-34</t>
        </is>
      </c>
      <c r="E15" s="49" t="n">
        <v>4.8</v>
      </c>
      <c r="F15" s="49" t="n">
        <v>60</v>
      </c>
      <c r="G15" s="50" t="n"/>
      <c r="H15" s="50" t="n"/>
      <c r="I15" s="52" t="n"/>
      <c r="J15" s="50" t="n"/>
      <c r="K15" s="49" t="n"/>
      <c r="L15" s="49" t="n"/>
      <c r="M15" s="49" t="inlineStr">
        <is>
          <t>Có</t>
        </is>
      </c>
      <c r="N15" s="49" t="inlineStr">
        <is>
          <t>Có</t>
        </is>
      </c>
      <c r="O15" s="49" t="inlineStr">
        <is>
          <t>Có</t>
        </is>
      </c>
      <c r="P15" s="49" t="inlineStr">
        <is>
          <t>G1¼ × 1"</t>
        </is>
      </c>
      <c r="Q15" s="49" t="inlineStr">
        <is>
          <t>PEROTAC - Bơm trục ngang 2CDX.pdf, tr.1</t>
        </is>
      </c>
      <c r="R15" s="53" t="inlineStr">
        <is>
          <t>Dòng MỚI từ catalogue 2CDX – chưa có giá nhập/giá bán</t>
        </is>
      </c>
    </row>
    <row r="16" ht="18" customHeight="1" s="1">
      <c r="A16" s="8" t="n">
        <v>8</v>
      </c>
      <c r="B16" s="8" t="inlineStr">
        <is>
          <t>2CDXM120/15-1.1KW-220V/380V</t>
        </is>
      </c>
      <c r="C16" s="8" t="n">
        <v>1.1</v>
      </c>
      <c r="D16" s="8" t="inlineStr">
        <is>
          <t>42-34</t>
        </is>
      </c>
      <c r="E16" s="43" t="n">
        <v>9</v>
      </c>
      <c r="F16" s="43" t="n">
        <v>42</v>
      </c>
      <c r="G16" s="9" t="n">
        <v>4600000</v>
      </c>
      <c r="H16" s="10" t="n">
        <v>5400000</v>
      </c>
      <c r="I16" s="23">
        <f>H16*2</f>
        <v/>
      </c>
      <c r="J16" s="12" t="n">
        <v>3700000</v>
      </c>
      <c r="K16" s="8" t="n"/>
      <c r="L16" s="8" t="n"/>
      <c r="M16" s="8" t="inlineStr">
        <is>
          <t>Có</t>
        </is>
      </c>
      <c r="N16" s="8" t="inlineStr">
        <is>
          <t>Có</t>
        </is>
      </c>
      <c r="O16" s="8" t="inlineStr">
        <is>
          <t>Có</t>
        </is>
      </c>
      <c r="P16" s="8" t="inlineStr">
        <is>
          <t>G1¼ × 1"</t>
        </is>
      </c>
      <c r="Q16" s="8" t="inlineStr">
        <is>
          <t>PEROTAC - Bơm trục ngang 2CDX.pdf, tr.1 (hãng khác: REDPUMP, AQUARIS)</t>
        </is>
      </c>
    </row>
    <row r="17" ht="18" customHeight="1" s="1">
      <c r="A17" s="14" t="n">
        <v>9</v>
      </c>
      <c r="B17" s="14" t="inlineStr">
        <is>
          <t>2CDXM120/20-1.5KW-220V/380V</t>
        </is>
      </c>
      <c r="C17" s="14" t="n">
        <v>1.5</v>
      </c>
      <c r="D17" s="14" t="inlineStr">
        <is>
          <t>42-34</t>
        </is>
      </c>
      <c r="E17" s="43" t="n">
        <v>9</v>
      </c>
      <c r="F17" s="43" t="n">
        <v>51.5</v>
      </c>
      <c r="G17" s="9" t="n">
        <v>4900000</v>
      </c>
      <c r="H17" s="10" t="n">
        <v>5700000</v>
      </c>
      <c r="I17" s="23">
        <f>H17*2</f>
        <v/>
      </c>
      <c r="J17" s="15" t="n">
        <v>3900000</v>
      </c>
      <c r="K17" s="14" t="n"/>
      <c r="L17" s="14" t="n"/>
      <c r="M17" s="14" t="inlineStr">
        <is>
          <t>Có</t>
        </is>
      </c>
      <c r="N17" s="14" t="inlineStr">
        <is>
          <t>Có</t>
        </is>
      </c>
      <c r="O17" s="14" t="inlineStr">
        <is>
          <t>Có</t>
        </is>
      </c>
      <c r="P17" s="14" t="inlineStr">
        <is>
          <t>G1¼ × 1"</t>
        </is>
      </c>
      <c r="Q17" s="14" t="inlineStr">
        <is>
          <t>PEROTAC - Bơm trục ngang 2CDX.pdf, tr.1 (hãng khác: REDPUMP, AQUARIS)</t>
        </is>
      </c>
    </row>
    <row r="18" ht="18" customHeight="1" s="1">
      <c r="A18" s="49" t="n"/>
      <c r="B18" s="49" t="inlineStr">
        <is>
          <t>2CDX120/30-2.2KW-380V</t>
        </is>
      </c>
      <c r="C18" s="49" t="n">
        <v>2.2</v>
      </c>
      <c r="D18" s="49" t="inlineStr">
        <is>
          <t>42-34</t>
        </is>
      </c>
      <c r="E18" s="49" t="n">
        <v>9</v>
      </c>
      <c r="F18" s="49" t="n">
        <v>59</v>
      </c>
      <c r="G18" s="50" t="n"/>
      <c r="H18" s="50" t="n"/>
      <c r="I18" s="52" t="n"/>
      <c r="J18" s="50" t="n"/>
      <c r="K18" s="49" t="n"/>
      <c r="L18" s="49" t="n"/>
      <c r="M18" s="49" t="inlineStr">
        <is>
          <t>Có</t>
        </is>
      </c>
      <c r="N18" s="49" t="inlineStr">
        <is>
          <t>Có</t>
        </is>
      </c>
      <c r="O18" s="49" t="inlineStr">
        <is>
          <t>Có</t>
        </is>
      </c>
      <c r="P18" s="49" t="inlineStr">
        <is>
          <t>G1¼ × 1"</t>
        </is>
      </c>
      <c r="Q18" s="49" t="inlineStr">
        <is>
          <t>PEROTAC - Bơm trục ngang 2CDX.pdf, tr.1</t>
        </is>
      </c>
      <c r="R18" s="53" t="inlineStr">
        <is>
          <t>Dòng MỚI từ catalogue 2CDX – chưa có giá nhập/giá bán</t>
        </is>
      </c>
    </row>
    <row r="19" ht="18" customHeight="1" s="1">
      <c r="A19" s="49" t="n"/>
      <c r="B19" s="49" t="inlineStr">
        <is>
          <t>2CDXM120/30-2.2KW-220V</t>
        </is>
      </c>
      <c r="C19" s="49" t="n">
        <v>2.2</v>
      </c>
      <c r="D19" s="49" t="inlineStr">
        <is>
          <t>42-34</t>
        </is>
      </c>
      <c r="E19" s="49" t="n">
        <v>9</v>
      </c>
      <c r="F19" s="49" t="n">
        <v>59</v>
      </c>
      <c r="G19" s="50" t="n"/>
      <c r="H19" s="50" t="n"/>
      <c r="I19" s="52" t="n"/>
      <c r="J19" s="50" t="n"/>
      <c r="K19" s="49" t="n"/>
      <c r="L19" s="49" t="n"/>
      <c r="M19" s="49" t="inlineStr">
        <is>
          <t>Có</t>
        </is>
      </c>
      <c r="N19" s="49" t="inlineStr">
        <is>
          <t>Có</t>
        </is>
      </c>
      <c r="O19" s="49" t="inlineStr">
        <is>
          <t>Có</t>
        </is>
      </c>
      <c r="P19" s="49" t="inlineStr">
        <is>
          <t>G1¼ × 1"</t>
        </is>
      </c>
      <c r="Q19" s="49" t="inlineStr">
        <is>
          <t>PEROTAC - Bơm trục ngang 2CDX.pdf, tr.1</t>
        </is>
      </c>
      <c r="R19" s="53" t="inlineStr">
        <is>
          <t>Dòng MỚI từ catalogue 2CDX – chưa có giá nhập/giá bán</t>
        </is>
      </c>
    </row>
    <row r="20" ht="18" customHeight="1" s="1">
      <c r="A20" s="49" t="n"/>
      <c r="B20" s="49" t="inlineStr">
        <is>
          <t>2CDX120/40-3KW-380V</t>
        </is>
      </c>
      <c r="C20" s="49" t="n">
        <v>3</v>
      </c>
      <c r="D20" s="49" t="inlineStr">
        <is>
          <t>42-34</t>
        </is>
      </c>
      <c r="E20" s="49" t="n">
        <v>9</v>
      </c>
      <c r="F20" s="49" t="n">
        <v>68.5</v>
      </c>
      <c r="G20" s="50" t="n"/>
      <c r="H20" s="50" t="n"/>
      <c r="I20" s="52" t="n"/>
      <c r="J20" s="50" t="n"/>
      <c r="K20" s="49" t="n"/>
      <c r="L20" s="49" t="n"/>
      <c r="M20" s="49" t="inlineStr">
        <is>
          <t>Có</t>
        </is>
      </c>
      <c r="N20" s="49" t="inlineStr">
        <is>
          <t>Có</t>
        </is>
      </c>
      <c r="O20" s="49" t="inlineStr">
        <is>
          <t>Có</t>
        </is>
      </c>
      <c r="P20" s="49" t="inlineStr">
        <is>
          <t>G1¼ × 1"</t>
        </is>
      </c>
      <c r="Q20" s="49" t="inlineStr">
        <is>
          <t>PEROTAC - Bơm trục ngang 2CDX.pdf, tr.1</t>
        </is>
      </c>
      <c r="R20" s="53" t="inlineStr">
        <is>
          <t>Dòng MỚI từ catalogue 2CDX – chưa có giá nhập/giá bán</t>
        </is>
      </c>
    </row>
    <row r="21" ht="18" customHeight="1" s="1">
      <c r="A21" s="49" t="n"/>
      <c r="B21" s="49" t="inlineStr">
        <is>
          <t>2CDXM120/40-3KW-220V</t>
        </is>
      </c>
      <c r="C21" s="49" t="n">
        <v>3</v>
      </c>
      <c r="D21" s="49" t="inlineStr">
        <is>
          <t>42-34</t>
        </is>
      </c>
      <c r="E21" s="49" t="n">
        <v>9</v>
      </c>
      <c r="F21" s="49" t="n">
        <v>68.5</v>
      </c>
      <c r="G21" s="50" t="n"/>
      <c r="H21" s="50" t="n"/>
      <c r="I21" s="52" t="n"/>
      <c r="J21" s="50" t="n"/>
      <c r="K21" s="49" t="n"/>
      <c r="L21" s="49" t="n"/>
      <c r="M21" s="49" t="inlineStr">
        <is>
          <t>Có</t>
        </is>
      </c>
      <c r="N21" s="49" t="inlineStr">
        <is>
          <t>Có</t>
        </is>
      </c>
      <c r="O21" s="49" t="inlineStr">
        <is>
          <t>Có</t>
        </is>
      </c>
      <c r="P21" s="49" t="inlineStr">
        <is>
          <t>G1¼ × 1"</t>
        </is>
      </c>
      <c r="Q21" s="49" t="inlineStr">
        <is>
          <t>PEROTAC - Bơm trục ngang 2CDX.pdf, tr.1</t>
        </is>
      </c>
      <c r="R21" s="53" t="inlineStr">
        <is>
          <t>Dòng MỚI từ catalogue 2CDX – chưa có giá nhập/giá bán</t>
        </is>
      </c>
    </row>
    <row r="22">
      <c r="A22" s="8" t="n">
        <v>10</v>
      </c>
      <c r="B22" s="8" t="inlineStr">
        <is>
          <t>2CDX200/30-2.2KW-380V</t>
        </is>
      </c>
      <c r="C22" s="8" t="n">
        <v>2.2</v>
      </c>
      <c r="D22" s="8" t="inlineStr">
        <is>
          <t>42-34</t>
        </is>
      </c>
      <c r="E22" s="43" t="n">
        <v>12.6</v>
      </c>
      <c r="F22" s="43" t="n">
        <v>52</v>
      </c>
      <c r="G22" s="9" t="n">
        <v>5900000</v>
      </c>
      <c r="H22" s="10" t="n">
        <v>6800000</v>
      </c>
      <c r="I22" s="23">
        <f>H22*2</f>
        <v/>
      </c>
      <c r="J22" s="12" t="n">
        <v>4700000</v>
      </c>
      <c r="K22" s="8" t="n"/>
      <c r="L22" s="8" t="n"/>
      <c r="M22" s="8" t="inlineStr">
        <is>
          <t>Có</t>
        </is>
      </c>
      <c r="N22" s="8" t="inlineStr">
        <is>
          <t>Có</t>
        </is>
      </c>
      <c r="O22" s="8" t="inlineStr">
        <is>
          <t>Có</t>
        </is>
      </c>
      <c r="P22" s="8" t="inlineStr">
        <is>
          <t>G1½ × 1"</t>
        </is>
      </c>
      <c r="Q22" s="8" t="inlineStr">
        <is>
          <t>PEROTAC - Bơm trục ngang 2CDX.pdf, tr.1 (hãng khác: REDPUMP, AQUARIS)</t>
        </is>
      </c>
    </row>
    <row r="23">
      <c r="A23" s="49" t="n"/>
      <c r="B23" s="49" t="inlineStr">
        <is>
          <t>2CDX200/40-3KW-380V</t>
        </is>
      </c>
      <c r="C23" s="49" t="n">
        <v>3</v>
      </c>
      <c r="D23" s="49" t="n"/>
      <c r="E23" s="49" t="n">
        <v>12.6</v>
      </c>
      <c r="F23" s="49" t="n">
        <v>62.5</v>
      </c>
      <c r="G23" s="50" t="n"/>
      <c r="H23" s="50" t="n"/>
      <c r="I23" s="52" t="n"/>
      <c r="J23" s="50" t="n"/>
      <c r="K23" s="49" t="n"/>
      <c r="L23" s="49" t="n"/>
      <c r="M23" s="49" t="inlineStr">
        <is>
          <t>Có</t>
        </is>
      </c>
      <c r="N23" s="49" t="inlineStr">
        <is>
          <t>Có</t>
        </is>
      </c>
      <c r="O23" s="49" t="inlineStr">
        <is>
          <t>Có</t>
        </is>
      </c>
      <c r="P23" s="49" t="inlineStr">
        <is>
          <t>G1½ × 1"</t>
        </is>
      </c>
      <c r="Q23" s="49" t="inlineStr">
        <is>
          <t>PEROTAC - Bơm trục ngang 2CDX.pdf, tr.1</t>
        </is>
      </c>
      <c r="R23" s="53" t="inlineStr">
        <is>
          <t>Dòng MỚI từ catalogue 2CDX – chưa có giá nhập/giá bán; họng xả theo mm chưa có mẫu, xem cột họng catalogue</t>
        </is>
      </c>
    </row>
    <row r="24">
      <c r="A24" s="49" t="n"/>
      <c r="B24" s="49" t="inlineStr">
        <is>
          <t>2CDXM200/40-3KW-220V</t>
        </is>
      </c>
      <c r="C24" s="49" t="n">
        <v>3</v>
      </c>
      <c r="D24" s="49" t="n"/>
      <c r="E24" s="49" t="n">
        <v>12.6</v>
      </c>
      <c r="F24" s="49" t="n">
        <v>62.5</v>
      </c>
      <c r="G24" s="50" t="n"/>
      <c r="H24" s="50" t="n"/>
      <c r="I24" s="52" t="n"/>
      <c r="J24" s="50" t="n"/>
      <c r="K24" s="49" t="n"/>
      <c r="L24" s="49" t="n"/>
      <c r="M24" s="49" t="inlineStr">
        <is>
          <t>Có</t>
        </is>
      </c>
      <c r="N24" s="49" t="inlineStr">
        <is>
          <t>Có</t>
        </is>
      </c>
      <c r="O24" s="49" t="inlineStr">
        <is>
          <t>Có</t>
        </is>
      </c>
      <c r="P24" s="49" t="inlineStr">
        <is>
          <t>G1½ × 1"</t>
        </is>
      </c>
      <c r="Q24" s="49" t="inlineStr">
        <is>
          <t>PEROTAC - Bơm trục ngang 2CDX.pdf, tr.1</t>
        </is>
      </c>
      <c r="R24" s="53" t="inlineStr">
        <is>
          <t>Dòng MỚI từ catalogue 2CDX – chưa có giá nhập/giá bán; họng xả theo mm chưa có mẫu, xem cột họng catalogue</t>
        </is>
      </c>
    </row>
    <row r="25">
      <c r="A25" s="49" t="n"/>
      <c r="B25" s="49" t="inlineStr">
        <is>
          <t>2CDX200/50-3.7KW-380V</t>
        </is>
      </c>
      <c r="C25" s="49" t="n">
        <v>3.7</v>
      </c>
      <c r="D25" s="49" t="n"/>
      <c r="E25" s="49" t="n">
        <v>12.6</v>
      </c>
      <c r="F25" s="49" t="n">
        <v>71.5</v>
      </c>
      <c r="G25" s="50" t="n"/>
      <c r="H25" s="50" t="n"/>
      <c r="I25" s="52" t="n"/>
      <c r="J25" s="50" t="n"/>
      <c r="K25" s="49" t="n"/>
      <c r="L25" s="49" t="n"/>
      <c r="M25" s="49" t="inlineStr">
        <is>
          <t>Có</t>
        </is>
      </c>
      <c r="N25" s="49" t="inlineStr">
        <is>
          <t>Có</t>
        </is>
      </c>
      <c r="O25" s="49" t="inlineStr">
        <is>
          <t>Có</t>
        </is>
      </c>
      <c r="P25" s="49" t="inlineStr">
        <is>
          <t>G1½ × 1"</t>
        </is>
      </c>
      <c r="Q25" s="49" t="inlineStr">
        <is>
          <t>PEROTAC - Bơm trục ngang 2CDX.pdf, tr.1</t>
        </is>
      </c>
      <c r="R25" s="53" t="inlineStr">
        <is>
          <t>Dòng MỚI từ catalogue 2CDX – chưa có giá nhập/giá bán; họng xả theo mm chưa có mẫu, xem cột họng catalogue</t>
        </is>
      </c>
    </row>
    <row r="26">
      <c r="A26" s="14" t="n">
        <v>11</v>
      </c>
      <c r="B26" s="14" t="inlineStr">
        <is>
          <t>DWO037M-0.37KW-220V</t>
        </is>
      </c>
      <c r="C26" s="14" t="n">
        <v>0.37</v>
      </c>
      <c r="D26" s="14" t="inlineStr">
        <is>
          <t>42-34</t>
        </is>
      </c>
      <c r="E26" s="14" t="n">
        <v>6</v>
      </c>
      <c r="F26" s="14" t="n">
        <v>12</v>
      </c>
      <c r="G26" s="9" t="n">
        <v>1900000</v>
      </c>
      <c r="H26" s="10" t="n">
        <v>2200000</v>
      </c>
      <c r="I26" s="23">
        <f>H26*2.1</f>
        <v/>
      </c>
      <c r="J26" s="15" t="n">
        <v>1500000</v>
      </c>
      <c r="K26" s="20" t="n">
        <v>1480000</v>
      </c>
      <c r="L26" s="14" t="n"/>
      <c r="M26" s="14" t="inlineStr">
        <is>
          <t>Có</t>
        </is>
      </c>
      <c r="N26" s="14" t="inlineStr">
        <is>
          <t>Có</t>
        </is>
      </c>
      <c r="O26" s="14" t="inlineStr">
        <is>
          <t>Có</t>
        </is>
      </c>
      <c r="P26" s="14" t="inlineStr">
        <is>
          <t>1"1/4 × 1"1/4</t>
        </is>
      </c>
      <c r="Q26" s="14" t="inlineStr">
        <is>
          <t>PEROTAC - Bơm trục ngang DWO (bản 2 trang).pdf, tr.1 (hãng khác: REDPUMP, AQUARIS)</t>
        </is>
      </c>
    </row>
    <row r="27">
      <c r="A27" s="8" t="n">
        <v>12</v>
      </c>
      <c r="B27" s="8" t="inlineStr">
        <is>
          <t>DWO100M-0.75KW-220V</t>
        </is>
      </c>
      <c r="C27" s="8" t="n">
        <v>0.75</v>
      </c>
      <c r="D27" s="8" t="inlineStr">
        <is>
          <t>48-48</t>
        </is>
      </c>
      <c r="E27" s="8" t="n">
        <v>18</v>
      </c>
      <c r="F27" s="8" t="n">
        <v>12</v>
      </c>
      <c r="G27" s="9" t="n">
        <v>2800000</v>
      </c>
      <c r="H27" s="10" t="n">
        <v>3200000</v>
      </c>
      <c r="I27" s="23">
        <f>H27*2.1</f>
        <v/>
      </c>
      <c r="J27" s="12" t="n">
        <v>2200000</v>
      </c>
      <c r="K27" s="8" t="n"/>
      <c r="L27" s="8" t="n"/>
      <c r="M27" s="8" t="inlineStr">
        <is>
          <t>Có</t>
        </is>
      </c>
      <c r="N27" s="8" t="inlineStr">
        <is>
          <t>Có</t>
        </is>
      </c>
      <c r="O27" s="8" t="inlineStr">
        <is>
          <t>Có</t>
        </is>
      </c>
      <c r="P27" s="8" t="inlineStr">
        <is>
          <t>1"1/4 × 1"1/4</t>
        </is>
      </c>
      <c r="Q27" s="8" t="inlineStr">
        <is>
          <t>PEROTAC - Bơm trục ngang DWO (bản 2 trang).pdf, tr.1 (hãng khác: REDPUMP, AQUARIS)</t>
        </is>
      </c>
    </row>
    <row r="28">
      <c r="A28" s="14" t="n">
        <v>13</v>
      </c>
      <c r="B28" s="14" t="inlineStr">
        <is>
          <t>DWO150M-1.1KW-220V</t>
        </is>
      </c>
      <c r="C28" s="14" t="n">
        <v>1.1</v>
      </c>
      <c r="D28" s="14" t="inlineStr">
        <is>
          <t>60-60</t>
        </is>
      </c>
      <c r="E28" s="14" t="n">
        <v>33</v>
      </c>
      <c r="F28" s="43" t="n">
        <v>9.5</v>
      </c>
      <c r="G28" s="9" t="n">
        <v>3900000</v>
      </c>
      <c r="H28" s="10" t="n">
        <v>4500000</v>
      </c>
      <c r="I28" s="23">
        <f>H28*2.1</f>
        <v/>
      </c>
      <c r="J28" s="15" t="n">
        <v>3100000</v>
      </c>
      <c r="K28" s="15" t="n">
        <v>3180000</v>
      </c>
      <c r="L28" s="20" t="n">
        <v>2916000</v>
      </c>
      <c r="M28" s="14" t="inlineStr">
        <is>
          <t>Có</t>
        </is>
      </c>
      <c r="N28" s="14" t="inlineStr">
        <is>
          <t>Có</t>
        </is>
      </c>
      <c r="O28" s="14" t="inlineStr">
        <is>
          <t>Có</t>
        </is>
      </c>
      <c r="P28" s="14" t="inlineStr">
        <is>
          <t>2" × 2"</t>
        </is>
      </c>
      <c r="Q28" s="14" t="inlineStr">
        <is>
          <t>PEROTAC - Bơm trục ngang DWO (bản 2 trang).pdf, tr.1 (hãng khác: REDPUMP, AQUARIS)</t>
        </is>
      </c>
    </row>
    <row r="29">
      <c r="A29" s="8" t="n">
        <v>14</v>
      </c>
      <c r="B29" s="8" t="inlineStr">
        <is>
          <t>DWO200M-1.5KW-220V</t>
        </is>
      </c>
      <c r="C29" s="8" t="n">
        <v>1.5</v>
      </c>
      <c r="D29" s="8" t="inlineStr">
        <is>
          <t>60-60</t>
        </is>
      </c>
      <c r="E29" s="43" t="n">
        <v>45</v>
      </c>
      <c r="F29" s="43" t="n">
        <v>12.7</v>
      </c>
      <c r="G29" s="9" t="n">
        <v>4100000</v>
      </c>
      <c r="H29" s="10" t="n">
        <v>4800000</v>
      </c>
      <c r="I29" s="23">
        <f>H29*2.1</f>
        <v/>
      </c>
      <c r="J29" s="12" t="n">
        <v>3300000</v>
      </c>
      <c r="K29" s="12" t="n">
        <v>3450000</v>
      </c>
      <c r="L29" s="20" t="n">
        <v>3078000</v>
      </c>
      <c r="M29" s="8" t="inlineStr">
        <is>
          <t>Có</t>
        </is>
      </c>
      <c r="N29" s="8" t="inlineStr">
        <is>
          <t>Có</t>
        </is>
      </c>
      <c r="O29" s="8" t="inlineStr">
        <is>
          <t>Có</t>
        </is>
      </c>
      <c r="P29" s="8" t="inlineStr">
        <is>
          <t>2" × 2"</t>
        </is>
      </c>
      <c r="Q29" s="8" t="inlineStr">
        <is>
          <t>PEROTAC - Bơm trục ngang DWO (bản 2 trang).pdf, tr.1 (hãng khác: REDPUMP, AQUARIS)</t>
        </is>
      </c>
    </row>
    <row r="30">
      <c r="A30" s="14" t="n">
        <v>15</v>
      </c>
      <c r="B30" s="14" t="inlineStr">
        <is>
          <t>DWO300M-2.2KW-220V</t>
        </is>
      </c>
      <c r="C30" s="14" t="n">
        <v>2.2</v>
      </c>
      <c r="D30" s="14" t="inlineStr">
        <is>
          <t>76-60</t>
        </is>
      </c>
      <c r="E30" s="14" t="n">
        <v>57</v>
      </c>
      <c r="F30" s="43" t="n">
        <v>15</v>
      </c>
      <c r="G30" s="9" t="n">
        <v>4800000</v>
      </c>
      <c r="H30" s="10" t="n">
        <v>5500000</v>
      </c>
      <c r="I30" s="23">
        <f>H30*2.1</f>
        <v/>
      </c>
      <c r="J30" s="15" t="n">
        <v>3800000</v>
      </c>
      <c r="K30" s="14" t="n"/>
      <c r="L30" s="20" t="n">
        <v>3612600</v>
      </c>
      <c r="M30" s="14" t="inlineStr">
        <is>
          <t>Có</t>
        </is>
      </c>
      <c r="N30" s="14" t="inlineStr">
        <is>
          <t>Có</t>
        </is>
      </c>
      <c r="O30" s="14" t="inlineStr">
        <is>
          <t>Có</t>
        </is>
      </c>
      <c r="P30" s="14" t="inlineStr">
        <is>
          <t>2"1/2 × 2"</t>
        </is>
      </c>
      <c r="Q30" s="14" t="inlineStr">
        <is>
          <t>PEROTAC - Bơm trục ngang DWO (bản 2 trang).pdf, tr.1 (hãng khác: REDPUMP, AQUARIS)</t>
        </is>
      </c>
    </row>
    <row r="31">
      <c r="A31" s="8" t="n">
        <v>17</v>
      </c>
      <c r="B31" s="8" t="inlineStr">
        <is>
          <t>DWO037-0.37KW-380V</t>
        </is>
      </c>
      <c r="C31" s="8" t="n">
        <v>0.37</v>
      </c>
      <c r="D31" s="8" t="inlineStr">
        <is>
          <t>42-34</t>
        </is>
      </c>
      <c r="E31" s="8" t="n">
        <v>6</v>
      </c>
      <c r="F31" s="8" t="n">
        <v>12</v>
      </c>
      <c r="G31" s="9" t="n">
        <v>1900000</v>
      </c>
      <c r="H31" s="10" t="n">
        <v>2200000</v>
      </c>
      <c r="I31" s="23">
        <f>H31*2.1</f>
        <v/>
      </c>
      <c r="J31" s="12" t="n">
        <v>1500000</v>
      </c>
      <c r="K31" s="20" t="n">
        <v>1450000</v>
      </c>
      <c r="L31" s="8" t="n"/>
      <c r="M31" s="8" t="inlineStr">
        <is>
          <t>Có</t>
        </is>
      </c>
      <c r="N31" s="8" t="inlineStr">
        <is>
          <t>Có</t>
        </is>
      </c>
      <c r="O31" s="8" t="inlineStr">
        <is>
          <t>Có</t>
        </is>
      </c>
      <c r="P31" s="8" t="inlineStr">
        <is>
          <t>1"1/4 × 1"1/4</t>
        </is>
      </c>
      <c r="Q31" s="8" t="inlineStr">
        <is>
          <t>PEROTAC - Bơm trục ngang DWO (bản 2 trang).pdf, tr.1 (hãng khác: REDPUMP, AQUARIS)</t>
        </is>
      </c>
    </row>
    <row r="32">
      <c r="A32" s="14" t="n">
        <v>18</v>
      </c>
      <c r="B32" s="14" t="inlineStr">
        <is>
          <t>DWO100T-0.75KW-380V</t>
        </is>
      </c>
      <c r="C32" s="14" t="n">
        <v>0.75</v>
      </c>
      <c r="D32" s="14" t="inlineStr">
        <is>
          <t>48-48</t>
        </is>
      </c>
      <c r="E32" s="14" t="n">
        <v>18</v>
      </c>
      <c r="F32" s="14" t="n">
        <v>12</v>
      </c>
      <c r="G32" s="9" t="n">
        <v>2800000</v>
      </c>
      <c r="H32" s="10" t="n">
        <v>3200000</v>
      </c>
      <c r="I32" s="23">
        <f>H32*2.1</f>
        <v/>
      </c>
      <c r="J32" s="15" t="n">
        <v>2200000</v>
      </c>
      <c r="K32" s="14" t="n"/>
      <c r="L32" s="14" t="n"/>
      <c r="M32" s="14" t="inlineStr">
        <is>
          <t>Có</t>
        </is>
      </c>
      <c r="N32" s="14" t="inlineStr">
        <is>
          <t>Có</t>
        </is>
      </c>
      <c r="O32" s="14" t="inlineStr">
        <is>
          <t>Có</t>
        </is>
      </c>
      <c r="P32" s="14" t="inlineStr">
        <is>
          <t>1"1/4 × 1"1/4</t>
        </is>
      </c>
      <c r="Q32" s="14" t="inlineStr">
        <is>
          <t>PEROTAC - Bơm trục ngang DWO (bản 2 trang).pdf, tr.1 (hãng khác: REDPUMP, AQUARIS)</t>
        </is>
      </c>
    </row>
    <row r="33">
      <c r="A33" s="8" t="n">
        <v>19</v>
      </c>
      <c r="B33" s="8" t="inlineStr">
        <is>
          <t>DWO150T-1.1KW-380V</t>
        </is>
      </c>
      <c r="C33" s="8" t="n">
        <v>1.1</v>
      </c>
      <c r="D33" s="8" t="inlineStr">
        <is>
          <t>60-60</t>
        </is>
      </c>
      <c r="E33" s="43" t="n">
        <v>33</v>
      </c>
      <c r="F33" s="43" t="n">
        <v>9.5</v>
      </c>
      <c r="G33" s="9" t="n">
        <v>3900000</v>
      </c>
      <c r="H33" s="10" t="n">
        <v>4500000</v>
      </c>
      <c r="I33" s="23">
        <f>H33*2.1</f>
        <v/>
      </c>
      <c r="J33" s="12" t="n">
        <v>3100000</v>
      </c>
      <c r="K33" s="12" t="n">
        <v>2960000</v>
      </c>
      <c r="L33" s="20" t="n">
        <v>2916000</v>
      </c>
      <c r="M33" s="8" t="inlineStr">
        <is>
          <t>Có</t>
        </is>
      </c>
      <c r="N33" s="8" t="inlineStr">
        <is>
          <t>Có</t>
        </is>
      </c>
      <c r="O33" s="8" t="inlineStr">
        <is>
          <t>Có</t>
        </is>
      </c>
      <c r="P33" s="8" t="inlineStr">
        <is>
          <t>2" × 2"</t>
        </is>
      </c>
      <c r="Q33" s="8" t="inlineStr">
        <is>
          <t>PEROTAC - Bơm trục ngang DWO (bản 2 trang).pdf, tr.1 (hãng khác: REDPUMP, AQUARIS)</t>
        </is>
      </c>
    </row>
    <row r="34">
      <c r="A34" s="14" t="n">
        <v>20</v>
      </c>
      <c r="B34" s="14" t="inlineStr">
        <is>
          <t>DWO200T-1.5KW-380V</t>
        </is>
      </c>
      <c r="C34" s="14" t="n">
        <v>1.5</v>
      </c>
      <c r="D34" s="14" t="inlineStr">
        <is>
          <t>60-60</t>
        </is>
      </c>
      <c r="E34" s="43" t="n">
        <v>45</v>
      </c>
      <c r="F34" s="43" t="n">
        <v>12.7</v>
      </c>
      <c r="G34" s="9" t="n">
        <v>4100000</v>
      </c>
      <c r="H34" s="10" t="n">
        <v>4800000</v>
      </c>
      <c r="I34" s="23">
        <f>H34*2.1</f>
        <v/>
      </c>
      <c r="J34" s="15" t="n">
        <v>3300000</v>
      </c>
      <c r="K34" s="15" t="n">
        <v>3180000</v>
      </c>
      <c r="L34" s="20" t="n">
        <v>3078000</v>
      </c>
      <c r="M34" s="14" t="inlineStr">
        <is>
          <t>Có</t>
        </is>
      </c>
      <c r="N34" s="14" t="inlineStr">
        <is>
          <t>Có</t>
        </is>
      </c>
      <c r="O34" s="14" t="inlineStr">
        <is>
          <t>Có</t>
        </is>
      </c>
      <c r="P34" s="14" t="inlineStr">
        <is>
          <t>2" × 2"</t>
        </is>
      </c>
      <c r="Q34" s="14" t="inlineStr">
        <is>
          <t>PEROTAC - Bơm trục ngang DWO (bản 2 trang).pdf, tr.1 (hãng khác: REDPUMP, AQUARIS)</t>
        </is>
      </c>
    </row>
    <row r="35">
      <c r="A35" s="8" t="n">
        <v>21</v>
      </c>
      <c r="B35" s="8" t="inlineStr">
        <is>
          <t>DWO300T-2.2KW-380V</t>
        </is>
      </c>
      <c r="C35" s="8" t="n">
        <v>2.2</v>
      </c>
      <c r="D35" s="8" t="inlineStr">
        <is>
          <t>76-60</t>
        </is>
      </c>
      <c r="E35" s="8" t="n">
        <v>57</v>
      </c>
      <c r="F35" s="43" t="n">
        <v>15</v>
      </c>
      <c r="G35" s="9" t="n">
        <v>4400000</v>
      </c>
      <c r="H35" s="10" t="n">
        <v>5100000</v>
      </c>
      <c r="I35" s="23">
        <f>H35*2.1</f>
        <v/>
      </c>
      <c r="J35" s="20" t="n">
        <v>3500000</v>
      </c>
      <c r="K35" s="8" t="n"/>
      <c r="L35" s="12" t="n">
        <v>3612600</v>
      </c>
      <c r="M35" s="8" t="inlineStr">
        <is>
          <t>Có</t>
        </is>
      </c>
      <c r="N35" s="8" t="inlineStr">
        <is>
          <t>Có</t>
        </is>
      </c>
      <c r="O35" s="8" t="inlineStr">
        <is>
          <t>Có</t>
        </is>
      </c>
      <c r="P35" s="8" t="inlineStr">
        <is>
          <t>2"1/2 × 2"</t>
        </is>
      </c>
      <c r="Q35" s="8" t="inlineStr">
        <is>
          <t>PEROTAC - Bơm trục ngang DWO (bản 2 trang).pdf, tr.1 (hãng khác: REDPUMP, AQUARIS)</t>
        </is>
      </c>
    </row>
    <row r="36">
      <c r="A36" s="14" t="n">
        <v>22</v>
      </c>
      <c r="B36" s="14" t="inlineStr">
        <is>
          <t>DWO400T-3.0KW-380V</t>
        </is>
      </c>
      <c r="C36" s="14" t="n">
        <v>3</v>
      </c>
      <c r="D36" s="14" t="inlineStr">
        <is>
          <t>76-60</t>
        </is>
      </c>
      <c r="E36" s="43" t="n">
        <v>66</v>
      </c>
      <c r="F36" s="43" t="n">
        <v>17.5</v>
      </c>
      <c r="G36" s="9" t="n">
        <v>5000000</v>
      </c>
      <c r="H36" s="10" t="n">
        <v>5800000</v>
      </c>
      <c r="I36" s="23">
        <f>H36*2.1</f>
        <v/>
      </c>
      <c r="J36" s="15" t="n">
        <v>4000000</v>
      </c>
      <c r="K36" s="14" t="n"/>
      <c r="L36" s="14" t="n"/>
      <c r="M36" s="14" t="inlineStr">
        <is>
          <t>Có</t>
        </is>
      </c>
      <c r="N36" s="14" t="inlineStr">
        <is>
          <t>Có</t>
        </is>
      </c>
      <c r="O36" s="14" t="inlineStr">
        <is>
          <t>Có</t>
        </is>
      </c>
      <c r="P36" s="14" t="inlineStr">
        <is>
          <t>2"1/2 × 2"</t>
        </is>
      </c>
      <c r="Q36" s="14" t="inlineStr">
        <is>
          <t>PEROTAC - Bơm trục ngang DWO (bản 2 trang).pdf, tr.1 (hãng khác: REDPUMP, AQUARIS)</t>
        </is>
      </c>
    </row>
  </sheetData>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P17"/>
  <sheetViews>
    <sheetView zoomScaleNormal="100" workbookViewId="0">
      <pane xSplit="2" ySplit="1" topLeftCell="C2" activePane="bottomRight" state="frozen"/>
      <selection pane="topRight" activeCell="A1" sqref="A1"/>
      <selection pane="bottomLeft" activeCell="A1" sqref="A1"/>
      <selection pane="bottomRight" activeCell="I30" sqref="I30"/>
    </sheetView>
  </sheetViews>
  <sheetFormatPr baseColWidth="8" defaultColWidth="8.7109375" defaultRowHeight="15"/>
  <cols>
    <col width="5" customWidth="1" style="1" min="1" max="1"/>
    <col width="24" customWidth="1" style="1" min="2" max="2"/>
    <col width="12" customWidth="1" style="1" min="3" max="4"/>
    <col width="13" customWidth="1" style="1" min="5" max="7"/>
    <col width="13" customWidth="1" style="24" min="8" max="8"/>
    <col width="13" customWidth="1" style="1" min="9" max="9"/>
    <col width="14" customWidth="1" style="1" min="10" max="11"/>
    <col width="16" customWidth="1" style="1" min="12" max="12"/>
    <col width="16" customWidth="1" style="1" min="13" max="13"/>
    <col width="16" customWidth="1" style="1" min="14" max="14"/>
    <col width="40" customWidth="1" style="1" min="15" max="15"/>
    <col width="45" customWidth="1" style="1" min="16" max="16"/>
  </cols>
  <sheetData>
    <row r="1" ht="30" customHeight="1" s="1">
      <c r="A1" s="2" t="inlineStr">
        <is>
          <t>STT</t>
        </is>
      </c>
      <c r="B1" s="2" t="inlineStr">
        <is>
          <t>MODEL</t>
        </is>
      </c>
      <c r="C1" s="2" t="inlineStr">
        <is>
          <t>Công suất (kW)</t>
        </is>
      </c>
      <c r="D1" s="2" t="inlineStr">
        <is>
          <t>Họng hút/xả (mm)</t>
        </is>
      </c>
      <c r="E1" s="2" t="inlineStr">
        <is>
          <t>Lưu lượng max (m3/h)</t>
        </is>
      </c>
      <c r="F1" s="2" t="inlineStr">
        <is>
          <t>Cột áp max (m)</t>
        </is>
      </c>
      <c r="G1" s="3" t="inlineStr">
        <is>
          <t>REDPUMP</t>
        </is>
      </c>
      <c r="H1" s="4" t="inlineStr">
        <is>
          <t>PEROTAC</t>
        </is>
      </c>
      <c r="I1" s="27" t="inlineStr">
        <is>
          <t>AQUARIS</t>
        </is>
      </c>
      <c r="J1" s="6" t="inlineStr">
        <is>
          <t>Giá nhập Tý</t>
        </is>
      </c>
      <c r="K1" s="6" t="inlineStr">
        <is>
          <t>Giá nhập ĐL</t>
        </is>
      </c>
      <c r="L1" s="42" t="inlineStr">
        <is>
          <t>Có trong catalogue REDPUMP</t>
        </is>
      </c>
      <c r="M1" s="42" t="inlineStr">
        <is>
          <t>Có trong catalogue PEROTAC</t>
        </is>
      </c>
      <c r="N1" s="42" t="inlineStr">
        <is>
          <t>Có trong catalogue AQUARIS</t>
        </is>
      </c>
      <c r="O1" s="42" t="inlineStr">
        <is>
          <t>Nguồn thông số (catalogue đã duyệt)</t>
        </is>
      </c>
      <c r="P1" s="42" t="inlineStr">
        <is>
          <t>Ghi chú</t>
        </is>
      </c>
    </row>
    <row r="2" ht="18" customHeight="1" s="1">
      <c r="A2" s="8" t="n">
        <v>1</v>
      </c>
      <c r="B2" s="8" t="inlineStr">
        <is>
          <t>KTZ21.5 -1.5KW-380V</t>
        </is>
      </c>
      <c r="C2" s="8" t="n">
        <v>1.5</v>
      </c>
      <c r="D2" s="8" t="n">
        <v>50</v>
      </c>
      <c r="E2" s="8" t="n">
        <v>27</v>
      </c>
      <c r="F2" s="8" t="n">
        <v>22</v>
      </c>
      <c r="G2" s="9" t="n">
        <v>8500000</v>
      </c>
      <c r="H2" s="10" t="n">
        <v>9900000</v>
      </c>
      <c r="I2" s="23">
        <f>G2*1.4</f>
        <v/>
      </c>
      <c r="J2" s="12" t="n">
        <v>6800000</v>
      </c>
      <c r="K2" s="20" t="n">
        <v>6296296</v>
      </c>
      <c r="L2" s="8" t="inlineStr">
        <is>
          <t>Có</t>
        </is>
      </c>
      <c r="M2" s="8" t="inlineStr">
        <is>
          <t>Có</t>
        </is>
      </c>
      <c r="N2" s="8" t="inlineStr">
        <is>
          <t>Có</t>
        </is>
      </c>
      <c r="O2" s="8" t="inlineStr">
        <is>
          <t>PEROTAC - Bơm chìm nước thải KTZ-LH.pdf, tr.2 (hãng khác: AQUARIS, REDPUMP)</t>
        </is>
      </c>
    </row>
    <row r="3" ht="18" customHeight="1" s="1">
      <c r="A3" s="14" t="n">
        <v>2</v>
      </c>
      <c r="B3" s="14" t="inlineStr">
        <is>
          <t>KTZ22.2 -2.2KW-380V</t>
        </is>
      </c>
      <c r="C3" s="14" t="n">
        <v>2.2</v>
      </c>
      <c r="D3" s="14" t="n">
        <v>50</v>
      </c>
      <c r="E3" s="14" t="n">
        <v>33</v>
      </c>
      <c r="F3" s="14" t="n">
        <v>26</v>
      </c>
      <c r="G3" s="9" t="n">
        <v>9400000</v>
      </c>
      <c r="H3" s="10" t="n">
        <v>10900000</v>
      </c>
      <c r="I3" s="23">
        <f>G3*1.4</f>
        <v/>
      </c>
      <c r="J3" s="15" t="n">
        <v>7500000</v>
      </c>
      <c r="K3" s="20" t="n">
        <v>6944444</v>
      </c>
      <c r="L3" s="14" t="inlineStr">
        <is>
          <t>Có</t>
        </is>
      </c>
      <c r="M3" s="14" t="inlineStr">
        <is>
          <t>Có</t>
        </is>
      </c>
      <c r="N3" s="14" t="inlineStr">
        <is>
          <t>Có</t>
        </is>
      </c>
      <c r="O3" s="14" t="inlineStr">
        <is>
          <t>PEROTAC - Bơm chìm nước thải KTZ-LH.pdf, tr.2 (hãng khác: AQUARIS, REDPUMP)</t>
        </is>
      </c>
    </row>
    <row r="4" ht="18" customHeight="1" s="1">
      <c r="A4" s="8" t="n">
        <v>3</v>
      </c>
      <c r="B4" s="8" t="inlineStr">
        <is>
          <t>KTZ32.2 -2.2KW-380V</t>
        </is>
      </c>
      <c r="C4" s="8" t="n">
        <v>2.2</v>
      </c>
      <c r="D4" s="8" t="n">
        <v>80</v>
      </c>
      <c r="E4" s="8" t="n">
        <v>55</v>
      </c>
      <c r="F4" s="8" t="n">
        <v>19</v>
      </c>
      <c r="G4" s="9" t="n">
        <v>9400000</v>
      </c>
      <c r="H4" s="10" t="n">
        <v>10900000</v>
      </c>
      <c r="I4" s="23">
        <f>G4*1.4</f>
        <v/>
      </c>
      <c r="J4" s="12" t="n">
        <v>7500000</v>
      </c>
      <c r="K4" s="20" t="n">
        <v>6944444</v>
      </c>
      <c r="L4" s="8" t="inlineStr">
        <is>
          <t>Có</t>
        </is>
      </c>
      <c r="M4" s="8" t="inlineStr">
        <is>
          <t>Có</t>
        </is>
      </c>
      <c r="N4" s="8" t="inlineStr">
        <is>
          <t>Có</t>
        </is>
      </c>
      <c r="O4" s="8" t="inlineStr">
        <is>
          <t>PEROTAC - Bơm chìm nước thải KTZ-LH.pdf, tr.2 (hãng khác: AQUARIS, REDPUMP)</t>
        </is>
      </c>
    </row>
    <row r="5" ht="18" customHeight="1" s="1">
      <c r="A5" s="14" t="n">
        <v>4</v>
      </c>
      <c r="B5" s="14" t="inlineStr">
        <is>
          <t>KTZ33.7 -3.7KW-380V</t>
        </is>
      </c>
      <c r="C5" s="14" t="n">
        <v>3.7</v>
      </c>
      <c r="D5" s="14" t="n">
        <v>80</v>
      </c>
      <c r="E5" s="14" t="n">
        <v>55</v>
      </c>
      <c r="F5" s="14" t="n">
        <v>29</v>
      </c>
      <c r="G5" s="9" t="n">
        <v>15000000</v>
      </c>
      <c r="H5" s="10" t="n">
        <v>17400000</v>
      </c>
      <c r="I5" s="23">
        <f>G5*1.4</f>
        <v/>
      </c>
      <c r="J5" s="15" t="n">
        <v>12000000</v>
      </c>
      <c r="K5" s="20" t="n">
        <v>11111111</v>
      </c>
      <c r="L5" s="14" t="inlineStr">
        <is>
          <t>Có</t>
        </is>
      </c>
      <c r="M5" s="14" t="inlineStr">
        <is>
          <t>Có</t>
        </is>
      </c>
      <c r="N5" s="14" t="inlineStr">
        <is>
          <t>Có</t>
        </is>
      </c>
      <c r="O5" s="14" t="inlineStr">
        <is>
          <t>PEROTAC - Bơm chìm nước thải KTZ-LH.pdf, tr.2 (hãng khác: AQUARIS, REDPUMP)</t>
        </is>
      </c>
    </row>
    <row r="6" ht="18" customHeight="1" s="1">
      <c r="A6" s="8" t="n">
        <v>5</v>
      </c>
      <c r="B6" s="8" t="inlineStr">
        <is>
          <t>KTZ35.5 -5.5KW-380V</t>
        </is>
      </c>
      <c r="C6" s="8" t="n">
        <v>5.5</v>
      </c>
      <c r="D6" s="8" t="n">
        <v>80</v>
      </c>
      <c r="E6" s="8" t="n">
        <v>75</v>
      </c>
      <c r="F6" s="8" t="n">
        <v>34</v>
      </c>
      <c r="G6" s="9" t="n">
        <v>19000000</v>
      </c>
      <c r="H6" s="10" t="n">
        <v>22000000</v>
      </c>
      <c r="I6" s="23">
        <f>G6*1.4</f>
        <v/>
      </c>
      <c r="J6" s="12" t="n">
        <v>15200000</v>
      </c>
      <c r="K6" s="20" t="n">
        <v>14074074</v>
      </c>
      <c r="L6" s="8" t="inlineStr">
        <is>
          <t>Có</t>
        </is>
      </c>
      <c r="M6" s="8" t="inlineStr">
        <is>
          <t>Có</t>
        </is>
      </c>
      <c r="N6" s="8" t="inlineStr">
        <is>
          <t>Có</t>
        </is>
      </c>
      <c r="O6" s="8" t="inlineStr">
        <is>
          <t>PEROTAC - Bơm chìm nước thải KTZ-LH.pdf, tr.2 (hãng khác: AQUARIS, REDPUMP)</t>
        </is>
      </c>
    </row>
    <row r="7" ht="18" customHeight="1" s="1">
      <c r="A7" s="14" t="n">
        <v>6</v>
      </c>
      <c r="B7" s="14" t="inlineStr">
        <is>
          <t>KTZ45.5 -5.5KW-380V</t>
        </is>
      </c>
      <c r="C7" s="14" t="n">
        <v>5.5</v>
      </c>
      <c r="D7" s="14" t="n">
        <v>100</v>
      </c>
      <c r="E7" s="14" t="n">
        <v>105</v>
      </c>
      <c r="F7" s="14" t="n">
        <v>23</v>
      </c>
      <c r="G7" s="9" t="n">
        <v>19000000</v>
      </c>
      <c r="H7" s="10" t="n">
        <v>22000000</v>
      </c>
      <c r="I7" s="23">
        <f>G7*1.4</f>
        <v/>
      </c>
      <c r="J7" s="15" t="n">
        <v>15200000</v>
      </c>
      <c r="K7" s="20" t="n">
        <v>14074074</v>
      </c>
      <c r="L7" s="14" t="inlineStr">
        <is>
          <t>Có</t>
        </is>
      </c>
      <c r="M7" s="14" t="inlineStr">
        <is>
          <t>Có</t>
        </is>
      </c>
      <c r="N7" s="14" t="inlineStr">
        <is>
          <t>Có</t>
        </is>
      </c>
      <c r="O7" s="14" t="inlineStr">
        <is>
          <t>PEROTAC - Bơm chìm nước thải KTZ-LH.pdf, tr.2 (hãng khác: AQUARIS, REDPUMP)</t>
        </is>
      </c>
    </row>
    <row r="8" ht="18" customHeight="1" s="1">
      <c r="A8" s="8" t="n">
        <v>8</v>
      </c>
      <c r="B8" s="8" t="inlineStr">
        <is>
          <t>KTZ47.5 -7.5KW-380V</t>
        </is>
      </c>
      <c r="C8" s="8" t="n">
        <v>7.5</v>
      </c>
      <c r="D8" s="8" t="n">
        <v>100</v>
      </c>
      <c r="E8" s="8" t="n">
        <v>84</v>
      </c>
      <c r="F8" s="8" t="n">
        <v>40</v>
      </c>
      <c r="G8" s="9" t="n">
        <v>24800000</v>
      </c>
      <c r="H8" s="10" t="n">
        <v>28700000</v>
      </c>
      <c r="I8" s="23">
        <f>G8*1.4</f>
        <v/>
      </c>
      <c r="J8" s="12" t="n">
        <v>19800000</v>
      </c>
      <c r="K8" s="20" t="n">
        <v>18333333</v>
      </c>
      <c r="L8" s="8" t="inlineStr">
        <is>
          <t>Có</t>
        </is>
      </c>
      <c r="M8" s="8" t="inlineStr">
        <is>
          <t>Có</t>
        </is>
      </c>
      <c r="N8" s="8" t="inlineStr">
        <is>
          <t>Có</t>
        </is>
      </c>
      <c r="O8" s="8" t="inlineStr">
        <is>
          <t>PEROTAC - Bơm chìm nước thải KTZ-LH.pdf, tr.2 (hãng khác: AQUARIS, REDPUMP)</t>
        </is>
      </c>
    </row>
    <row r="9" ht="18" customHeight="1" s="1">
      <c r="A9" s="14" t="n">
        <v>9</v>
      </c>
      <c r="B9" s="14" t="inlineStr">
        <is>
          <t>KTZ67.5 -7.5KW-380V</t>
        </is>
      </c>
      <c r="C9" s="14" t="n">
        <v>7.5</v>
      </c>
      <c r="D9" s="14" t="n">
        <v>150</v>
      </c>
      <c r="E9" s="14" t="n">
        <v>124.8</v>
      </c>
      <c r="F9" s="14" t="n">
        <v>31</v>
      </c>
      <c r="G9" s="9" t="n">
        <v>24800000</v>
      </c>
      <c r="H9" s="10" t="n">
        <v>28700000</v>
      </c>
      <c r="I9" s="23">
        <f>G9*1.4</f>
        <v/>
      </c>
      <c r="J9" s="15" t="n">
        <v>19800000</v>
      </c>
      <c r="K9" s="20" t="n">
        <v>18333333</v>
      </c>
      <c r="L9" s="14" t="inlineStr">
        <is>
          <t>Có</t>
        </is>
      </c>
      <c r="M9" s="14" t="inlineStr">
        <is>
          <t>Có</t>
        </is>
      </c>
      <c r="N9" s="14" t="inlineStr">
        <is>
          <t>Có</t>
        </is>
      </c>
      <c r="O9" s="14" t="inlineStr">
        <is>
          <t>PEROTAC - Bơm chìm nước thải KTZ-LH.pdf, tr.2 (hãng khác: AQUARIS, REDPUMP)</t>
        </is>
      </c>
    </row>
    <row r="10" ht="18" customHeight="1" s="1">
      <c r="A10" s="8" t="n">
        <v>10</v>
      </c>
      <c r="B10" s="8" t="inlineStr">
        <is>
          <t>KTZ411-11KW-380V</t>
        </is>
      </c>
      <c r="C10" s="8" t="n">
        <v>11</v>
      </c>
      <c r="D10" s="8" t="n">
        <v>100</v>
      </c>
      <c r="E10" s="8" t="n">
        <v>84</v>
      </c>
      <c r="F10" s="8" t="n">
        <v>48.5</v>
      </c>
      <c r="G10" s="9" t="n">
        <v>33100000</v>
      </c>
      <c r="H10" s="10" t="n">
        <v>38400000</v>
      </c>
      <c r="I10" s="23">
        <f>G10*1.4</f>
        <v/>
      </c>
      <c r="J10" s="12" t="n">
        <v>26500000</v>
      </c>
      <c r="K10" s="20" t="n">
        <v>24537037</v>
      </c>
      <c r="L10" s="8" t="inlineStr">
        <is>
          <t>Có</t>
        </is>
      </c>
      <c r="M10" s="8" t="inlineStr">
        <is>
          <t>Có</t>
        </is>
      </c>
      <c r="N10" s="8" t="inlineStr">
        <is>
          <t>Có</t>
        </is>
      </c>
      <c r="O10" s="8" t="inlineStr">
        <is>
          <t>PEROTAC - Bơm chìm nước thải KTZ-LH.pdf, tr.2 (hãng khác: AQUARIS, REDPUMP)</t>
        </is>
      </c>
    </row>
    <row r="11" ht="18" customHeight="1" s="1">
      <c r="A11" s="14" t="n">
        <v>11</v>
      </c>
      <c r="B11" s="14" t="inlineStr">
        <is>
          <t>KTZ611-11KW-380V</t>
        </is>
      </c>
      <c r="C11" s="14" t="n">
        <v>11</v>
      </c>
      <c r="D11" s="14" t="n">
        <v>150</v>
      </c>
      <c r="E11" s="14" t="n">
        <v>147</v>
      </c>
      <c r="F11" s="14" t="n">
        <v>32</v>
      </c>
      <c r="G11" s="9" t="n">
        <v>33100000</v>
      </c>
      <c r="H11" s="10" t="n">
        <v>38400000</v>
      </c>
      <c r="I11" s="23">
        <f>G11*1.4</f>
        <v/>
      </c>
      <c r="J11" s="15" t="n">
        <v>26500000</v>
      </c>
      <c r="K11" s="20" t="n">
        <v>24537037</v>
      </c>
      <c r="L11" s="14" t="inlineStr">
        <is>
          <t>Có</t>
        </is>
      </c>
      <c r="M11" s="14" t="inlineStr">
        <is>
          <t>Có</t>
        </is>
      </c>
      <c r="N11" s="14" t="inlineStr">
        <is>
          <t>Có</t>
        </is>
      </c>
      <c r="O11" s="14" t="inlineStr">
        <is>
          <t>PEROTAC - Bơm chìm nước thải KTZ-LH.pdf, tr.2 (hãng khác: AQUARIS, REDPUMP)</t>
        </is>
      </c>
    </row>
    <row r="12" ht="18" customHeight="1" s="1">
      <c r="A12" s="8" t="n">
        <v>12</v>
      </c>
      <c r="B12" s="8" t="inlineStr">
        <is>
          <t>KTZ415-15KW-380V</t>
        </is>
      </c>
      <c r="C12" s="8" t="n">
        <v>15</v>
      </c>
      <c r="D12" s="8" t="n">
        <v>100</v>
      </c>
      <c r="E12" s="8" t="n">
        <v>84</v>
      </c>
      <c r="F12" s="8" t="n">
        <v>56</v>
      </c>
      <c r="G12" s="9" t="n">
        <v>40600000</v>
      </c>
      <c r="H12" s="10" t="n">
        <v>47100000</v>
      </c>
      <c r="I12" s="23">
        <f>G12*1.4</f>
        <v/>
      </c>
      <c r="J12" s="12" t="n">
        <v>32500000</v>
      </c>
      <c r="K12" s="20" t="n">
        <v>30092593</v>
      </c>
      <c r="L12" s="8" t="inlineStr">
        <is>
          <t>Có</t>
        </is>
      </c>
      <c r="M12" s="8" t="inlineStr">
        <is>
          <t>Có</t>
        </is>
      </c>
      <c r="N12" s="8" t="inlineStr">
        <is>
          <t>Có</t>
        </is>
      </c>
      <c r="O12" s="8" t="inlineStr">
        <is>
          <t>PEROTAC - Bơm chìm nước thải KTZ-LH.pdf, tr.2 (hãng khác: AQUARIS, REDPUMP)</t>
        </is>
      </c>
    </row>
    <row r="13" ht="18" customHeight="1" s="1">
      <c r="A13" s="14" t="n">
        <v>13</v>
      </c>
      <c r="B13" s="14" t="inlineStr">
        <is>
          <t>KTZ615-15KW-380V</t>
        </is>
      </c>
      <c r="C13" s="14" t="n">
        <v>15</v>
      </c>
      <c r="D13" s="14" t="n">
        <v>150</v>
      </c>
      <c r="E13" s="14" t="n">
        <v>156</v>
      </c>
      <c r="F13" s="14" t="n">
        <v>40</v>
      </c>
      <c r="G13" s="9" t="n">
        <v>40600000</v>
      </c>
      <c r="H13" s="10" t="n">
        <v>47100000</v>
      </c>
      <c r="I13" s="23">
        <f>G13*1.4</f>
        <v/>
      </c>
      <c r="J13" s="15" t="n">
        <v>32500000</v>
      </c>
      <c r="K13" s="20" t="n">
        <v>30092593</v>
      </c>
      <c r="L13" s="14" t="inlineStr">
        <is>
          <t>Có</t>
        </is>
      </c>
      <c r="M13" s="14" t="inlineStr">
        <is>
          <t>Có</t>
        </is>
      </c>
      <c r="N13" s="14" t="inlineStr">
        <is>
          <t>Có</t>
        </is>
      </c>
      <c r="O13" s="14" t="inlineStr">
        <is>
          <t>PEROTAC - Bơm chìm nước thải KTZ-LH.pdf, tr.2 (hãng khác: AQUARIS, REDPUMP)</t>
        </is>
      </c>
    </row>
    <row r="14" ht="18" customHeight="1" s="1">
      <c r="A14" s="8" t="n">
        <v>14</v>
      </c>
      <c r="B14" s="8" t="inlineStr">
        <is>
          <t>LH422-22KW-380V</t>
        </is>
      </c>
      <c r="C14" s="8" t="n">
        <v>22</v>
      </c>
      <c r="D14" s="8" t="n">
        <v>100</v>
      </c>
      <c r="E14" s="43" t="n">
        <v>130</v>
      </c>
      <c r="F14" s="8" t="n">
        <v>68</v>
      </c>
      <c r="G14" s="9" t="n">
        <v>106300000</v>
      </c>
      <c r="H14" s="10" t="n">
        <v>123300000</v>
      </c>
      <c r="I14" s="23">
        <f>G14*1.4</f>
        <v/>
      </c>
      <c r="J14" s="12" t="n">
        <v>85000000</v>
      </c>
      <c r="K14" s="20" t="n">
        <v>78703704</v>
      </c>
      <c r="L14" s="8" t="inlineStr">
        <is>
          <t>Có</t>
        </is>
      </c>
      <c r="M14" s="8" t="inlineStr">
        <is>
          <t>Có</t>
        </is>
      </c>
      <c r="N14" s="8" t="inlineStr">
        <is>
          <t>Có</t>
        </is>
      </c>
      <c r="O14" s="8" t="inlineStr">
        <is>
          <t>PEROTAC - Bơm chìm nước thải KTZ-LH.pdf, tr.5 (hãng khác: AQUARIS, REDPUMP)</t>
        </is>
      </c>
    </row>
    <row r="15" ht="18" customHeight="1" s="1">
      <c r="A15" s="14" t="n">
        <v>15</v>
      </c>
      <c r="B15" s="14" t="inlineStr">
        <is>
          <t>LH622-22KW-380V</t>
        </is>
      </c>
      <c r="C15" s="14" t="n">
        <v>22</v>
      </c>
      <c r="D15" s="14" t="n">
        <v>150</v>
      </c>
      <c r="E15" s="43" t="n">
        <v>200</v>
      </c>
      <c r="F15" s="43" t="n">
        <v>50</v>
      </c>
      <c r="G15" s="9" t="n">
        <v>106300000</v>
      </c>
      <c r="H15" s="10" t="n">
        <v>123300000</v>
      </c>
      <c r="I15" s="23">
        <f>G15*1.4</f>
        <v/>
      </c>
      <c r="J15" s="15" t="n">
        <v>85000000</v>
      </c>
      <c r="K15" s="20" t="n">
        <v>78703704</v>
      </c>
      <c r="L15" s="14" t="inlineStr">
        <is>
          <t>Có</t>
        </is>
      </c>
      <c r="M15" s="14" t="inlineStr">
        <is>
          <t>Có</t>
        </is>
      </c>
      <c r="N15" s="14" t="inlineStr">
        <is>
          <t>Có</t>
        </is>
      </c>
      <c r="O15" s="14" t="inlineStr">
        <is>
          <t>PEROTAC - Bơm chìm nước thải KTZ-LH.pdf, tr.5 (hãng khác: AQUARIS, REDPUMP)</t>
        </is>
      </c>
    </row>
    <row r="16" ht="18" customHeight="1" s="1">
      <c r="A16" s="8" t="n">
        <v>17</v>
      </c>
      <c r="B16" s="8" t="inlineStr">
        <is>
          <t>LH430-30KW-380V</t>
        </is>
      </c>
      <c r="C16" s="8" t="n">
        <v>30</v>
      </c>
      <c r="D16" s="8" t="n">
        <v>100</v>
      </c>
      <c r="E16" s="8" t="n">
        <v>170</v>
      </c>
      <c r="F16" s="43" t="n">
        <v>78</v>
      </c>
      <c r="G16" s="9" t="n">
        <v>131300000</v>
      </c>
      <c r="H16" s="10" t="n">
        <v>152300000</v>
      </c>
      <c r="I16" s="23">
        <f>G16*1.4</f>
        <v/>
      </c>
      <c r="J16" s="12" t="n">
        <v>105000000</v>
      </c>
      <c r="K16" s="20" t="n">
        <v>97222222</v>
      </c>
      <c r="L16" s="8" t="inlineStr">
        <is>
          <t>Có</t>
        </is>
      </c>
      <c r="M16" s="8" t="inlineStr">
        <is>
          <t>Có</t>
        </is>
      </c>
      <c r="N16" s="8" t="inlineStr">
        <is>
          <t>Có</t>
        </is>
      </c>
      <c r="O16" s="8" t="inlineStr">
        <is>
          <t>PEROTAC - Bơm chìm nước thải KTZ-LH.pdf, tr.5 (hãng khác: AQUARIS, REDPUMP)</t>
        </is>
      </c>
    </row>
    <row r="17" ht="18" customHeight="1" s="1">
      <c r="A17" s="14" t="n">
        <v>18</v>
      </c>
      <c r="B17" s="14" t="inlineStr">
        <is>
          <t>LH630-30KW-380V</t>
        </is>
      </c>
      <c r="C17" s="14" t="n">
        <v>30</v>
      </c>
      <c r="D17" s="14" t="n">
        <v>150</v>
      </c>
      <c r="E17" s="14" t="n">
        <v>220</v>
      </c>
      <c r="F17" s="43" t="n">
        <v>58</v>
      </c>
      <c r="G17" s="9" t="n">
        <v>131300000</v>
      </c>
      <c r="H17" s="10" t="n">
        <v>152300000</v>
      </c>
      <c r="I17" s="23">
        <f>G17*1.4</f>
        <v/>
      </c>
      <c r="J17" s="15" t="n">
        <v>105000000</v>
      </c>
      <c r="K17" s="20" t="n">
        <v>97222222</v>
      </c>
      <c r="L17" s="14" t="inlineStr">
        <is>
          <t>Có</t>
        </is>
      </c>
      <c r="M17" s="14" t="inlineStr">
        <is>
          <t>Có</t>
        </is>
      </c>
      <c r="N17" s="14" t="inlineStr">
        <is>
          <t>Có</t>
        </is>
      </c>
      <c r="O17" s="14" t="inlineStr">
        <is>
          <t>PEROTAC - Bơm chìm nước thải KTZ-LH.pdf, tr.5 (hãng khác: AQUARIS, REDPUMP)</t>
        </is>
      </c>
    </row>
  </sheetData>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N11"/>
  <sheetViews>
    <sheetView zoomScaleNormal="100" workbookViewId="0">
      <pane xSplit="2" ySplit="1" topLeftCell="C2" activePane="bottomRight" state="frozen"/>
      <selection pane="topRight" activeCell="A1" sqref="A1"/>
      <selection pane="bottomLeft" activeCell="A1" sqref="A1"/>
      <selection pane="bottomRight" activeCell="K26" sqref="K26"/>
    </sheetView>
  </sheetViews>
  <sheetFormatPr baseColWidth="8" defaultColWidth="8.7109375" defaultRowHeight="15"/>
  <cols>
    <col width="5" customWidth="1" style="1" min="1" max="1"/>
    <col width="24" customWidth="1" style="1" min="2" max="2"/>
    <col width="12" customWidth="1" style="1" min="3" max="3"/>
    <col width="13" customWidth="1" style="1" min="4" max="7"/>
    <col width="14" customWidth="1" style="1" min="8" max="9"/>
    <col width="16" customWidth="1" style="1" min="10" max="10"/>
    <col width="16" customWidth="1" style="1" min="11" max="11"/>
    <col width="16" customWidth="1" style="1" min="12" max="12"/>
    <col width="40" customWidth="1" style="1" min="13" max="13"/>
    <col width="45" customWidth="1" style="1" min="14" max="14"/>
  </cols>
  <sheetData>
    <row r="1" ht="30" customHeight="1" s="1">
      <c r="A1" s="2" t="inlineStr">
        <is>
          <t>STT</t>
        </is>
      </c>
      <c r="B1" s="2" t="inlineStr">
        <is>
          <t>MODEL</t>
        </is>
      </c>
      <c r="C1" s="2" t="inlineStr">
        <is>
          <t>Công suất (kw)</t>
        </is>
      </c>
      <c r="D1" s="2" t="inlineStr">
        <is>
          <t>Lưu lượng (m3/min)</t>
        </is>
      </c>
      <c r="E1" s="3" t="inlineStr">
        <is>
          <t>REDPUMP</t>
        </is>
      </c>
      <c r="F1" s="4" t="inlineStr">
        <is>
          <t>PEROTAC</t>
        </is>
      </c>
      <c r="G1" s="5" t="inlineStr">
        <is>
          <t>AQUARIS</t>
        </is>
      </c>
      <c r="H1" s="6" t="inlineStr">
        <is>
          <t>Giá nhập ĐL</t>
        </is>
      </c>
      <c r="I1" s="6" t="inlineStr">
        <is>
          <t>Giá nhập Trung Kiên</t>
        </is>
      </c>
      <c r="J1" s="42" t="inlineStr">
        <is>
          <t>Có trong catalogue REDPUMP</t>
        </is>
      </c>
      <c r="K1" s="42" t="inlineStr">
        <is>
          <t>Có trong catalogue PEROTAC</t>
        </is>
      </c>
      <c r="L1" s="42" t="inlineStr">
        <is>
          <t>Có trong catalogue AQUARIS</t>
        </is>
      </c>
      <c r="M1" s="42" t="inlineStr">
        <is>
          <t>Nguồn thông số (catalogue đã duyệt)</t>
        </is>
      </c>
      <c r="N1" s="42" t="inlineStr">
        <is>
          <t>Ghi chú</t>
        </is>
      </c>
    </row>
    <row r="2" ht="18" customHeight="1" s="1">
      <c r="A2" s="8" t="n">
        <v>1</v>
      </c>
      <c r="B2" s="8" t="inlineStr">
        <is>
          <t>MIX-0.4</t>
        </is>
      </c>
      <c r="C2" s="8" t="n">
        <v>0.4</v>
      </c>
      <c r="D2" s="8" t="n">
        <v>1.8</v>
      </c>
      <c r="E2" s="9" t="n">
        <v>11500000</v>
      </c>
      <c r="F2" s="10" t="n">
        <v>13000000</v>
      </c>
      <c r="G2" s="19" t="n">
        <v>19500000</v>
      </c>
      <c r="H2" s="8" t="n"/>
      <c r="I2" s="12" t="n">
        <v>7800000</v>
      </c>
      <c r="J2" s="8" t="inlineStr">
        <is>
          <t>Có</t>
        </is>
      </c>
      <c r="K2" s="8" t="inlineStr">
        <is>
          <t>Có</t>
        </is>
      </c>
      <c r="L2" s="8" t="inlineStr">
        <is>
          <t>Có</t>
        </is>
      </c>
      <c r="M2" s="8" t="inlineStr">
        <is>
          <t>PEROTAC - Máy khuấy chìm MIX.pdf, tr.1 (hãng khác: REDPUMP, AQUARIS)</t>
        </is>
      </c>
    </row>
    <row r="3" ht="18" customHeight="1" s="1">
      <c r="A3" s="14" t="n">
        <v>2</v>
      </c>
      <c r="B3" s="14" t="inlineStr">
        <is>
          <t>MIX-0.75</t>
        </is>
      </c>
      <c r="C3" s="14" t="n">
        <v>0.75</v>
      </c>
      <c r="D3" s="43" t="n">
        <v>3.2</v>
      </c>
      <c r="E3" s="9" t="n">
        <v>12500000</v>
      </c>
      <c r="F3" s="10" t="n">
        <v>14000000</v>
      </c>
      <c r="G3" s="19" t="n">
        <v>21000000</v>
      </c>
      <c r="H3" s="14" t="n"/>
      <c r="I3" s="15" t="n">
        <v>7800000</v>
      </c>
      <c r="J3" s="14" t="inlineStr">
        <is>
          <t>Có</t>
        </is>
      </c>
      <c r="K3" s="14" t="inlineStr">
        <is>
          <t>Có</t>
        </is>
      </c>
      <c r="L3" s="14" t="inlineStr">
        <is>
          <t>Có</t>
        </is>
      </c>
      <c r="M3" s="14" t="inlineStr">
        <is>
          <t>PEROTAC - Máy khuấy chìm MIX.pdf, tr.1 (hãng khác: REDPUMP, AQUARIS)</t>
        </is>
      </c>
    </row>
    <row r="4" ht="18" customHeight="1" s="1">
      <c r="A4" s="8" t="n">
        <v>3</v>
      </c>
      <c r="B4" s="8" t="inlineStr">
        <is>
          <t>MIX-1.1</t>
        </is>
      </c>
      <c r="C4" s="8" t="n">
        <v>1.1</v>
      </c>
      <c r="D4" s="43" t="n">
        <v>4</v>
      </c>
      <c r="E4" s="9" t="n">
        <v>13000000</v>
      </c>
      <c r="F4" s="10" t="n">
        <v>15000000</v>
      </c>
      <c r="G4" s="19" t="n">
        <v>22500000</v>
      </c>
      <c r="H4" s="8" t="n"/>
      <c r="I4" s="12" t="n">
        <v>7800000</v>
      </c>
      <c r="J4" s="8" t="inlineStr">
        <is>
          <t>Có</t>
        </is>
      </c>
      <c r="K4" s="8" t="inlineStr">
        <is>
          <t>Có</t>
        </is>
      </c>
      <c r="L4" s="8" t="inlineStr">
        <is>
          <t>Có</t>
        </is>
      </c>
      <c r="M4" s="8" t="inlineStr">
        <is>
          <t>PEROTAC - Máy khuấy chìm MIX.pdf, tr.1 (hãng khác: REDPUMP, AQUARIS)</t>
        </is>
      </c>
    </row>
    <row r="5" ht="18" customHeight="1" s="1">
      <c r="A5" s="14" t="n">
        <v>4</v>
      </c>
      <c r="B5" s="14" t="inlineStr">
        <is>
          <t>MIX-1.5</t>
        </is>
      </c>
      <c r="C5" s="14" t="n">
        <v>1.5</v>
      </c>
      <c r="D5" s="14" t="n">
        <v>4.5</v>
      </c>
      <c r="E5" s="9" t="n">
        <v>13500000</v>
      </c>
      <c r="F5" s="10" t="n">
        <v>15500000</v>
      </c>
      <c r="G5" s="19" t="n">
        <v>23250000</v>
      </c>
      <c r="H5" s="14" t="n"/>
      <c r="I5" s="15" t="n">
        <v>9200000</v>
      </c>
      <c r="J5" s="14" t="inlineStr">
        <is>
          <t>Có</t>
        </is>
      </c>
      <c r="K5" s="14" t="inlineStr">
        <is>
          <t>Có</t>
        </is>
      </c>
      <c r="L5" s="14" t="inlineStr">
        <is>
          <t>Có</t>
        </is>
      </c>
      <c r="M5" s="14" t="inlineStr">
        <is>
          <t>PEROTAC - Máy khuấy chìm MIX.pdf, tr.1 (hãng khác: REDPUMP, AQUARIS)</t>
        </is>
      </c>
    </row>
    <row r="6" ht="18" customHeight="1" s="1">
      <c r="A6" s="8" t="n">
        <v>5</v>
      </c>
      <c r="B6" s="8" t="inlineStr">
        <is>
          <t>MIX-2.2</t>
        </is>
      </c>
      <c r="C6" s="8" t="n">
        <v>2.2</v>
      </c>
      <c r="D6" s="43" t="n">
        <v>6.8</v>
      </c>
      <c r="E6" s="9" t="n">
        <v>16000000</v>
      </c>
      <c r="F6" s="10" t="n">
        <v>18000000</v>
      </c>
      <c r="G6" s="19" t="n">
        <v>27000000</v>
      </c>
      <c r="H6" s="8" t="n"/>
      <c r="I6" s="12" t="n">
        <v>11300000</v>
      </c>
      <c r="J6" s="8" t="inlineStr">
        <is>
          <t>Có</t>
        </is>
      </c>
      <c r="K6" s="8" t="inlineStr">
        <is>
          <t>Có</t>
        </is>
      </c>
      <c r="L6" s="8" t="inlineStr">
        <is>
          <t>Có</t>
        </is>
      </c>
      <c r="M6" s="8" t="inlineStr">
        <is>
          <t>PEROTAC - Máy khuấy chìm MIX.pdf, tr.1 (hãng khác: REDPUMP, AQUARIS)</t>
        </is>
      </c>
    </row>
    <row r="7" ht="18" customHeight="1" s="1">
      <c r="A7" s="14" t="n">
        <v>6</v>
      </c>
      <c r="B7" s="14" t="inlineStr">
        <is>
          <t>4MIX-0.4</t>
        </is>
      </c>
      <c r="C7" s="14" t="n">
        <v>0.4</v>
      </c>
      <c r="D7" s="14" t="n">
        <v>1.8</v>
      </c>
      <c r="E7" s="9" t="n">
        <v>12000000</v>
      </c>
      <c r="F7" s="10" t="n">
        <v>14000000</v>
      </c>
      <c r="G7" s="19" t="n">
        <v>21000000</v>
      </c>
      <c r="H7" s="15" t="n">
        <v>10000000</v>
      </c>
      <c r="I7" s="14" t="n"/>
      <c r="J7" s="14" t="inlineStr">
        <is>
          <t>Có</t>
        </is>
      </c>
      <c r="K7" s="14" t="inlineStr">
        <is>
          <t>Có</t>
        </is>
      </c>
      <c r="L7" s="14" t="inlineStr">
        <is>
          <t>Có</t>
        </is>
      </c>
      <c r="M7" s="14" t="inlineStr">
        <is>
          <t>PEROTAC - Máy khuấy chìm 4MIX.pdf, tr.1 (hãng khác: REDPUMP, AQUARIS)</t>
        </is>
      </c>
    </row>
    <row r="8" ht="18" customHeight="1" s="1">
      <c r="A8" s="8" t="n">
        <v>8</v>
      </c>
      <c r="B8" s="8" t="inlineStr">
        <is>
          <t>4MIX-0.75</t>
        </is>
      </c>
      <c r="C8" s="8" t="n">
        <v>0.75</v>
      </c>
      <c r="D8" s="43" t="n">
        <v>3.2</v>
      </c>
      <c r="E8" s="9" t="n">
        <v>12500000</v>
      </c>
      <c r="F8" s="10" t="n">
        <v>15000000</v>
      </c>
      <c r="G8" s="19" t="n">
        <v>22500000</v>
      </c>
      <c r="H8" s="12" t="n">
        <v>10000000</v>
      </c>
      <c r="I8" s="8" t="n"/>
      <c r="J8" s="8" t="inlineStr">
        <is>
          <t>Có</t>
        </is>
      </c>
      <c r="K8" s="8" t="inlineStr">
        <is>
          <t>Có</t>
        </is>
      </c>
      <c r="L8" s="8" t="inlineStr">
        <is>
          <t>Có</t>
        </is>
      </c>
      <c r="M8" s="8" t="inlineStr">
        <is>
          <t>PEROTAC - Máy khuấy chìm 4MIX.pdf, tr.1 (hãng khác: REDPUMP, AQUARIS)</t>
        </is>
      </c>
    </row>
    <row r="9" ht="18" customHeight="1" s="1">
      <c r="A9" s="14" t="n">
        <v>9</v>
      </c>
      <c r="B9" s="14" t="inlineStr">
        <is>
          <t>4MIX-1.1</t>
        </is>
      </c>
      <c r="C9" s="14" t="n">
        <v>1.1</v>
      </c>
      <c r="D9" s="43" t="n">
        <v>4</v>
      </c>
      <c r="E9" s="9" t="n">
        <v>13000000</v>
      </c>
      <c r="F9" s="10" t="n">
        <v>16000000</v>
      </c>
      <c r="G9" s="19" t="n">
        <v>24000000</v>
      </c>
      <c r="H9" s="15" t="n">
        <v>10000000</v>
      </c>
      <c r="I9" s="14" t="n"/>
      <c r="J9" s="14" t="inlineStr">
        <is>
          <t>Có</t>
        </is>
      </c>
      <c r="K9" s="14" t="inlineStr">
        <is>
          <t>Có</t>
        </is>
      </c>
      <c r="L9" s="14" t="inlineStr">
        <is>
          <t>Có</t>
        </is>
      </c>
      <c r="M9" s="14" t="inlineStr">
        <is>
          <t>PEROTAC - Máy khuấy chìm 4MIX.pdf, tr.1 (hãng khác: REDPUMP, AQUARIS)</t>
        </is>
      </c>
    </row>
    <row r="10" ht="18" customHeight="1" s="1">
      <c r="A10" s="8" t="n">
        <v>10</v>
      </c>
      <c r="B10" s="8" t="inlineStr">
        <is>
          <t>4MIX-1.5</t>
        </is>
      </c>
      <c r="C10" s="8" t="n">
        <v>1.5</v>
      </c>
      <c r="D10" s="8" t="n">
        <v>4.5</v>
      </c>
      <c r="E10" s="9" t="n">
        <v>13500000</v>
      </c>
      <c r="F10" s="10" t="n">
        <v>16500000</v>
      </c>
      <c r="G10" s="19" t="n">
        <v>24750000</v>
      </c>
      <c r="H10" s="12" t="n">
        <v>10000000</v>
      </c>
      <c r="I10" s="8" t="n"/>
      <c r="J10" s="8" t="inlineStr">
        <is>
          <t>Có</t>
        </is>
      </c>
      <c r="K10" s="8" t="inlineStr">
        <is>
          <t>Có</t>
        </is>
      </c>
      <c r="L10" s="8" t="inlineStr">
        <is>
          <t>Có</t>
        </is>
      </c>
      <c r="M10" s="8" t="inlineStr">
        <is>
          <t>PEROTAC - Máy khuấy chìm 4MIX.pdf, tr.1 (hãng khác: REDPUMP, AQUARIS)</t>
        </is>
      </c>
    </row>
    <row r="11" ht="18" customHeight="1" s="1">
      <c r="A11" s="14" t="n">
        <v>11</v>
      </c>
      <c r="B11" s="14" t="inlineStr">
        <is>
          <t>4MIX-2.2</t>
        </is>
      </c>
      <c r="C11" s="14" t="n">
        <v>2.2</v>
      </c>
      <c r="D11" s="43" t="n">
        <v>6.8</v>
      </c>
      <c r="E11" s="9" t="n">
        <v>16500000</v>
      </c>
      <c r="F11" s="10" t="n">
        <v>19000000</v>
      </c>
      <c r="G11" s="19" t="n">
        <v>28500000</v>
      </c>
      <c r="H11" s="15" t="n">
        <v>14000000</v>
      </c>
      <c r="I11" s="14" t="n"/>
      <c r="J11" s="14" t="inlineStr">
        <is>
          <t>Có</t>
        </is>
      </c>
      <c r="K11" s="14" t="inlineStr">
        <is>
          <t>Có</t>
        </is>
      </c>
      <c r="L11" s="14" t="inlineStr">
        <is>
          <t>Có</t>
        </is>
      </c>
      <c r="M11" s="14" t="inlineStr">
        <is>
          <t>PEROTAC - Máy khuấy chìm 4MIX.pdf, tr.1 (hãng khác: REDPUMP, AQUARIS)</t>
        </is>
      </c>
    </row>
  </sheetData>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O16"/>
  <sheetViews>
    <sheetView zoomScaleNormal="100" workbookViewId="0">
      <pane xSplit="2" ySplit="1" topLeftCell="C2" activePane="bottomRight" state="frozen"/>
      <selection pane="topRight" activeCell="A1" sqref="A1"/>
      <selection pane="bottomLeft" activeCell="A1" sqref="A1"/>
      <selection pane="bottomRight" activeCell="P17" sqref="P17"/>
    </sheetView>
  </sheetViews>
  <sheetFormatPr baseColWidth="8" defaultColWidth="8.7109375" defaultRowHeight="15"/>
  <cols>
    <col width="5" customWidth="1" style="1" min="1" max="1"/>
    <col width="24" customWidth="1" style="1" min="2" max="2"/>
    <col width="12" customWidth="1" style="1" min="3" max="5"/>
    <col width="13" customWidth="1" style="1" min="6" max="10"/>
    <col width="16" customWidth="1" style="1" min="11" max="11"/>
    <col width="16" customWidth="1" style="1" min="12" max="12"/>
    <col width="16" customWidth="1" style="1" min="13" max="13"/>
    <col width="40" customWidth="1" style="1" min="14" max="14"/>
    <col width="45" customWidth="1" style="1" min="15" max="15"/>
  </cols>
  <sheetData>
    <row r="1" ht="30" customHeight="1" s="1">
      <c r="A1" s="2" t="inlineStr">
        <is>
          <t>STT</t>
        </is>
      </c>
      <c r="B1" s="2" t="inlineStr">
        <is>
          <t>MODEL</t>
        </is>
      </c>
      <c r="C1" s="2" t="inlineStr">
        <is>
          <t>Công suất (W)</t>
        </is>
      </c>
      <c r="D1" s="2" t="inlineStr">
        <is>
          <t>Lưu lượng (L/h)</t>
        </is>
      </c>
      <c r="E1" s="2" t="inlineStr">
        <is>
          <t>Cột áp (Bar)</t>
        </is>
      </c>
      <c r="F1" s="3" t="inlineStr">
        <is>
          <t>REDPUMP</t>
        </is>
      </c>
      <c r="G1" s="4" t="inlineStr">
        <is>
          <t>PEROTAC</t>
        </is>
      </c>
      <c r="H1" s="5" t="inlineStr">
        <is>
          <t>AQUARIS</t>
        </is>
      </c>
      <c r="I1" s="6" t="inlineStr">
        <is>
          <t>Giá ĐL</t>
        </is>
      </c>
      <c r="J1" s="6" t="inlineStr">
        <is>
          <t>Giá Trung Kiên</t>
        </is>
      </c>
      <c r="K1" s="42" t="inlineStr">
        <is>
          <t>Có trong catalogue REDPUMP</t>
        </is>
      </c>
      <c r="L1" s="42" t="inlineStr">
        <is>
          <t>Có trong catalogue PEROTAC</t>
        </is>
      </c>
      <c r="M1" s="42" t="inlineStr">
        <is>
          <t>Có trong catalogue AQUARIS</t>
        </is>
      </c>
      <c r="N1" s="42" t="inlineStr">
        <is>
          <t>Nguồn thông số (catalogue đã duyệt)</t>
        </is>
      </c>
      <c r="O1" s="42" t="inlineStr">
        <is>
          <t>Ghi chú</t>
        </is>
      </c>
    </row>
    <row r="2" ht="18" customHeight="1" s="1">
      <c r="A2" s="8" t="n">
        <v>1</v>
      </c>
      <c r="B2" s="8" t="inlineStr">
        <is>
          <t>JLM1003</t>
        </is>
      </c>
      <c r="C2" s="8" t="n">
        <v>45</v>
      </c>
      <c r="D2" s="8" t="n">
        <v>10</v>
      </c>
      <c r="E2" s="8" t="n">
        <v>3</v>
      </c>
      <c r="F2" s="36" t="inlineStr">
        <is>
          <t>ko có</t>
        </is>
      </c>
      <c r="G2" s="17" t="inlineStr">
        <is>
          <t>ko có</t>
        </is>
      </c>
      <c r="H2" s="19" t="n">
        <v>4200000</v>
      </c>
      <c r="I2" s="12" t="n">
        <v>2315000</v>
      </c>
      <c r="J2" s="20" t="n">
        <v>2200000</v>
      </c>
      <c r="K2" s="44" t="inlineStr">
        <is>
          <t>Không có</t>
        </is>
      </c>
      <c r="L2" s="44" t="inlineStr">
        <is>
          <t>Không có</t>
        </is>
      </c>
      <c r="M2" s="8" t="inlineStr">
        <is>
          <t>Có</t>
        </is>
      </c>
      <c r="N2" s="8" t="inlineStr">
        <is>
          <t>AQUARIS - Bơm định lượng JLM-JBB.pdf, tr.3</t>
        </is>
      </c>
    </row>
    <row r="3" ht="18" customHeight="1" s="1">
      <c r="A3" s="14" t="n">
        <v>2</v>
      </c>
      <c r="B3" s="14" t="inlineStr">
        <is>
          <t>JLM2003</t>
        </is>
      </c>
      <c r="C3" s="14" t="n">
        <v>45</v>
      </c>
      <c r="D3" s="14" t="n">
        <v>20</v>
      </c>
      <c r="E3" s="14" t="n">
        <v>3</v>
      </c>
      <c r="F3" s="36" t="inlineStr">
        <is>
          <t>ko có</t>
        </is>
      </c>
      <c r="G3" s="17" t="inlineStr">
        <is>
          <t>ko có</t>
        </is>
      </c>
      <c r="H3" s="19" t="n">
        <v>4200000</v>
      </c>
      <c r="I3" s="15" t="n">
        <v>2315000</v>
      </c>
      <c r="J3" s="20" t="n">
        <v>2200000</v>
      </c>
      <c r="K3" s="44" t="inlineStr">
        <is>
          <t>Không có</t>
        </is>
      </c>
      <c r="L3" s="44" t="inlineStr">
        <is>
          <t>Không có</t>
        </is>
      </c>
      <c r="M3" s="14" t="inlineStr">
        <is>
          <t>Có</t>
        </is>
      </c>
      <c r="N3" s="14" t="inlineStr">
        <is>
          <t>AQUARIS - Bơm định lượng JLM-JBB.pdf, tr.3</t>
        </is>
      </c>
    </row>
    <row r="4" ht="18" customHeight="1" s="1">
      <c r="A4" s="8" t="n">
        <v>3</v>
      </c>
      <c r="B4" s="8" t="inlineStr">
        <is>
          <t>JLM3001</t>
        </is>
      </c>
      <c r="C4" s="8" t="n">
        <v>45</v>
      </c>
      <c r="D4" s="8" t="n">
        <v>30</v>
      </c>
      <c r="E4" s="8" t="n">
        <v>1</v>
      </c>
      <c r="F4" s="36" t="inlineStr">
        <is>
          <t>ko có</t>
        </is>
      </c>
      <c r="G4" s="17" t="inlineStr">
        <is>
          <t>ko có</t>
        </is>
      </c>
      <c r="H4" s="19" t="n">
        <v>4500000</v>
      </c>
      <c r="I4" s="12" t="n">
        <v>3520000</v>
      </c>
      <c r="J4" s="20" t="n">
        <v>2200000</v>
      </c>
      <c r="K4" s="44" t="inlineStr">
        <is>
          <t>Không có</t>
        </is>
      </c>
      <c r="L4" s="44" t="inlineStr">
        <is>
          <t>Không có</t>
        </is>
      </c>
      <c r="M4" s="8" t="inlineStr">
        <is>
          <t>Có</t>
        </is>
      </c>
      <c r="N4" s="8" t="inlineStr">
        <is>
          <t>AQUARIS - Bơm định lượng JLM-JBB.pdf, tr.3</t>
        </is>
      </c>
    </row>
    <row r="5" ht="18" customHeight="1" s="1">
      <c r="A5" s="14" t="n">
        <v>4</v>
      </c>
      <c r="B5" s="14" t="inlineStr">
        <is>
          <t>JLM5001</t>
        </is>
      </c>
      <c r="C5" s="14" t="n">
        <v>45</v>
      </c>
      <c r="D5" s="14" t="n">
        <v>50</v>
      </c>
      <c r="E5" s="14" t="n">
        <v>1</v>
      </c>
      <c r="F5" s="36" t="inlineStr">
        <is>
          <t>ko có</t>
        </is>
      </c>
      <c r="G5" s="17" t="inlineStr">
        <is>
          <t>ko có</t>
        </is>
      </c>
      <c r="H5" s="19" t="n">
        <v>4500000</v>
      </c>
      <c r="I5" s="15" t="n">
        <v>3520000</v>
      </c>
      <c r="J5" s="20" t="n">
        <v>2200000</v>
      </c>
      <c r="K5" s="44" t="inlineStr">
        <is>
          <t>Không có</t>
        </is>
      </c>
      <c r="L5" s="44" t="inlineStr">
        <is>
          <t>Không có</t>
        </is>
      </c>
      <c r="M5" s="14" t="inlineStr">
        <is>
          <t>Có</t>
        </is>
      </c>
      <c r="N5" s="14" t="inlineStr">
        <is>
          <t>AQUARIS - Bơm định lượng JLM-JBB.pdf, tr.3</t>
        </is>
      </c>
    </row>
    <row r="6" ht="18" customHeight="1" s="1">
      <c r="A6" s="8" t="n">
        <v>5</v>
      </c>
      <c r="B6" s="8" t="inlineStr">
        <is>
          <t>JBB50/10</t>
        </is>
      </c>
      <c r="C6" s="8" t="n">
        <v>250</v>
      </c>
      <c r="D6" s="8" t="n">
        <v>50</v>
      </c>
      <c r="E6" s="8" t="n">
        <v>10</v>
      </c>
      <c r="F6" s="36" t="inlineStr">
        <is>
          <t>ko có</t>
        </is>
      </c>
      <c r="G6" s="17" t="inlineStr">
        <is>
          <t>ko có</t>
        </is>
      </c>
      <c r="H6" s="19" t="n">
        <v>8500000</v>
      </c>
      <c r="I6" s="12" t="n">
        <v>5926000</v>
      </c>
      <c r="J6" s="20" t="n">
        <v>5500000</v>
      </c>
      <c r="K6" s="44" t="inlineStr">
        <is>
          <t>Không có</t>
        </is>
      </c>
      <c r="L6" s="44" t="inlineStr">
        <is>
          <t>Không có</t>
        </is>
      </c>
      <c r="M6" s="8" t="inlineStr">
        <is>
          <t>Có</t>
        </is>
      </c>
      <c r="N6" s="8" t="inlineStr">
        <is>
          <t>AQUARIS - Bơm định lượng JLM-JBB.pdf, tr.4</t>
        </is>
      </c>
    </row>
    <row r="7" ht="18" customHeight="1" s="1">
      <c r="A7" s="14" t="n">
        <v>6</v>
      </c>
      <c r="B7" s="14" t="inlineStr">
        <is>
          <t>JBB75/10</t>
        </is>
      </c>
      <c r="C7" s="14" t="n">
        <v>250</v>
      </c>
      <c r="D7" s="14" t="n">
        <v>75</v>
      </c>
      <c r="E7" s="14" t="n">
        <v>10</v>
      </c>
      <c r="F7" s="36" t="inlineStr">
        <is>
          <t>ko có</t>
        </is>
      </c>
      <c r="G7" s="17" t="inlineStr">
        <is>
          <t>ko có</t>
        </is>
      </c>
      <c r="H7" s="19" t="n">
        <v>8500000</v>
      </c>
      <c r="I7" s="15" t="n">
        <v>5926000</v>
      </c>
      <c r="J7" s="20" t="n">
        <v>5500000</v>
      </c>
      <c r="K7" s="44" t="inlineStr">
        <is>
          <t>Không có</t>
        </is>
      </c>
      <c r="L7" s="44" t="inlineStr">
        <is>
          <t>Không có</t>
        </is>
      </c>
      <c r="M7" s="14" t="inlineStr">
        <is>
          <t>Có</t>
        </is>
      </c>
      <c r="N7" s="14" t="inlineStr">
        <is>
          <t>AQUARIS - Bơm định lượng JLM-JBB.pdf, tr.4</t>
        </is>
      </c>
    </row>
    <row r="8" ht="18" customHeight="1" s="1">
      <c r="A8" s="8" t="n">
        <v>7</v>
      </c>
      <c r="B8" s="8" t="inlineStr">
        <is>
          <t>JBB101/10</t>
        </is>
      </c>
      <c r="C8" s="8" t="n">
        <v>250</v>
      </c>
      <c r="D8" s="8" t="n">
        <v>101</v>
      </c>
      <c r="E8" s="8" t="n">
        <v>10</v>
      </c>
      <c r="F8" s="36" t="inlineStr">
        <is>
          <t>ko có</t>
        </is>
      </c>
      <c r="G8" s="17" t="inlineStr">
        <is>
          <t>ko có</t>
        </is>
      </c>
      <c r="H8" s="19" t="n">
        <v>8500000</v>
      </c>
      <c r="I8" s="12" t="n">
        <v>5926000</v>
      </c>
      <c r="J8" s="20" t="n">
        <v>5500000</v>
      </c>
      <c r="K8" s="44" t="inlineStr">
        <is>
          <t>Không có</t>
        </is>
      </c>
      <c r="L8" s="44" t="inlineStr">
        <is>
          <t>Không có</t>
        </is>
      </c>
      <c r="M8" s="8" t="inlineStr">
        <is>
          <t>Có</t>
        </is>
      </c>
      <c r="N8" s="8" t="inlineStr">
        <is>
          <t>AQUARIS - Bơm định lượng JLM-JBB.pdf, tr.4</t>
        </is>
      </c>
    </row>
    <row r="9" ht="18" customHeight="1" s="1">
      <c r="A9" s="14" t="n">
        <v>8</v>
      </c>
      <c r="B9" s="14" t="inlineStr">
        <is>
          <t>JBB155/10</t>
        </is>
      </c>
      <c r="C9" s="14" t="n">
        <v>250</v>
      </c>
      <c r="D9" s="14" t="n">
        <v>155</v>
      </c>
      <c r="E9" s="14" t="n">
        <v>10</v>
      </c>
      <c r="F9" s="36" t="inlineStr">
        <is>
          <t>ko có</t>
        </is>
      </c>
      <c r="G9" s="17" t="inlineStr">
        <is>
          <t>ko có</t>
        </is>
      </c>
      <c r="H9" s="19" t="n">
        <v>8500000</v>
      </c>
      <c r="I9" s="15" t="n">
        <v>5926000</v>
      </c>
      <c r="J9" s="20" t="n">
        <v>5500000</v>
      </c>
      <c r="K9" s="44" t="inlineStr">
        <is>
          <t>Không có</t>
        </is>
      </c>
      <c r="L9" s="44" t="inlineStr">
        <is>
          <t>Không có</t>
        </is>
      </c>
      <c r="M9" s="14" t="inlineStr">
        <is>
          <t>Có</t>
        </is>
      </c>
      <c r="N9" s="14" t="inlineStr">
        <is>
          <t>AQUARIS - Bơm định lượng JLM-JBB.pdf, tr.4</t>
        </is>
      </c>
    </row>
    <row r="10" ht="18" customHeight="1" s="1">
      <c r="A10" s="8" t="n">
        <v>9</v>
      </c>
      <c r="B10" s="8" t="inlineStr">
        <is>
          <t>JBB201/7</t>
        </is>
      </c>
      <c r="C10" s="43" t="n">
        <v>370</v>
      </c>
      <c r="D10" s="8" t="n">
        <v>201</v>
      </c>
      <c r="E10" s="8" t="n">
        <v>7</v>
      </c>
      <c r="F10" s="36" t="inlineStr">
        <is>
          <t>ko có</t>
        </is>
      </c>
      <c r="G10" s="17" t="inlineStr">
        <is>
          <t>ko có</t>
        </is>
      </c>
      <c r="H10" s="19" t="n">
        <v>10500000</v>
      </c>
      <c r="I10" s="12" t="n">
        <v>5926000</v>
      </c>
      <c r="J10" s="20" t="n">
        <v>5500000</v>
      </c>
      <c r="K10" s="44" t="inlineStr">
        <is>
          <t>Không có</t>
        </is>
      </c>
      <c r="L10" s="44" t="inlineStr">
        <is>
          <t>Không có</t>
        </is>
      </c>
      <c r="M10" s="8" t="inlineStr">
        <is>
          <t>Có</t>
        </is>
      </c>
      <c r="N10" s="8" t="inlineStr">
        <is>
          <t>AQUARIS - Bơm định lượng JLM-JBB.pdf, tr.4</t>
        </is>
      </c>
    </row>
    <row r="11" ht="18" customHeight="1" s="1">
      <c r="A11" s="14" t="n">
        <v>10</v>
      </c>
      <c r="B11" s="14" t="inlineStr">
        <is>
          <t>JBB321/6</t>
        </is>
      </c>
      <c r="C11" s="43" t="n">
        <v>370</v>
      </c>
      <c r="D11" s="14" t="n">
        <v>321</v>
      </c>
      <c r="E11" s="14" t="n">
        <v>6</v>
      </c>
      <c r="F11" s="36" t="inlineStr">
        <is>
          <t>ko có</t>
        </is>
      </c>
      <c r="G11" s="17" t="inlineStr">
        <is>
          <t>ko có</t>
        </is>
      </c>
      <c r="H11" s="19" t="n">
        <v>10500000</v>
      </c>
      <c r="I11" s="15" t="n">
        <v>5926000</v>
      </c>
      <c r="J11" s="20" t="n">
        <v>5500000</v>
      </c>
      <c r="K11" s="44" t="inlineStr">
        <is>
          <t>Không có</t>
        </is>
      </c>
      <c r="L11" s="44" t="inlineStr">
        <is>
          <t>Không có</t>
        </is>
      </c>
      <c r="M11" s="14" t="inlineStr">
        <is>
          <t>Có</t>
        </is>
      </c>
      <c r="N11" s="14" t="inlineStr">
        <is>
          <t>AQUARIS - Bơm định lượng JLM-JBB.pdf, tr.4</t>
        </is>
      </c>
    </row>
    <row r="12" ht="18" customHeight="1" s="1">
      <c r="A12" s="8" t="n">
        <v>11</v>
      </c>
      <c r="B12" s="8" t="inlineStr">
        <is>
          <t>JBB421/6</t>
        </is>
      </c>
      <c r="C12" s="43" t="n">
        <v>370</v>
      </c>
      <c r="D12" s="8" t="n">
        <v>421</v>
      </c>
      <c r="E12" s="43" t="n">
        <v>6</v>
      </c>
      <c r="F12" s="36" t="inlineStr">
        <is>
          <t>ko có</t>
        </is>
      </c>
      <c r="G12" s="17" t="inlineStr">
        <is>
          <t>ko có</t>
        </is>
      </c>
      <c r="H12" s="19" t="n">
        <v>10500000</v>
      </c>
      <c r="I12" s="12" t="n">
        <v>5926000</v>
      </c>
      <c r="J12" s="20" t="n">
        <v>5500000</v>
      </c>
      <c r="K12" s="44" t="inlineStr">
        <is>
          <t>Không có</t>
        </is>
      </c>
      <c r="L12" s="44" t="inlineStr">
        <is>
          <t>Không có</t>
        </is>
      </c>
      <c r="M12" s="8" t="inlineStr">
        <is>
          <t>Có</t>
        </is>
      </c>
      <c r="N12" s="8" t="inlineStr">
        <is>
          <t>AQUARIS - Bơm định lượng JLM-JBB.pdf, tr.4</t>
        </is>
      </c>
    </row>
    <row r="13" ht="18" customHeight="1" s="1">
      <c r="A13" s="14" t="n">
        <v>12</v>
      </c>
      <c r="B13" s="14" t="inlineStr">
        <is>
          <t>JBB521/5</t>
        </is>
      </c>
      <c r="C13" s="14" t="n">
        <v>370</v>
      </c>
      <c r="D13" s="14" t="n">
        <v>521</v>
      </c>
      <c r="E13" s="14" t="n">
        <v>5</v>
      </c>
      <c r="F13" s="36" t="inlineStr">
        <is>
          <t>ko có</t>
        </is>
      </c>
      <c r="G13" s="17" t="inlineStr">
        <is>
          <t>ko có</t>
        </is>
      </c>
      <c r="H13" s="19" t="n">
        <v>16000000</v>
      </c>
      <c r="I13" s="15" t="n">
        <v>5926000</v>
      </c>
      <c r="J13" s="20" t="n">
        <v>12000000</v>
      </c>
      <c r="K13" s="44" t="inlineStr">
        <is>
          <t>Không có</t>
        </is>
      </c>
      <c r="L13" s="44" t="inlineStr">
        <is>
          <t>Không có</t>
        </is>
      </c>
      <c r="M13" s="14" t="inlineStr">
        <is>
          <t>Có</t>
        </is>
      </c>
      <c r="N13" s="14" t="inlineStr">
        <is>
          <t>AQUARIS - Bơm định lượng JLM-JBB.pdf, tr.4</t>
        </is>
      </c>
    </row>
    <row r="14" ht="18" customHeight="1" s="1">
      <c r="A14" s="8" t="n">
        <v>13</v>
      </c>
      <c r="B14" s="8" t="inlineStr">
        <is>
          <t>C660P</t>
        </is>
      </c>
      <c r="C14" s="8" t="n">
        <v>45</v>
      </c>
      <c r="D14" s="8" t="n">
        <v>14</v>
      </c>
      <c r="E14" s="8" t="n">
        <v>4.2</v>
      </c>
      <c r="F14" s="36" t="inlineStr">
        <is>
          <t>ko có</t>
        </is>
      </c>
      <c r="G14" s="17" t="inlineStr">
        <is>
          <t>ko có</t>
        </is>
      </c>
      <c r="H14" s="19" t="n">
        <v>4500000</v>
      </c>
      <c r="I14" s="8" t="n"/>
      <c r="J14" s="12" t="n">
        <v>2000000</v>
      </c>
      <c r="O14" s="44" t="inlineStr">
        <is>
          <t>Không có trong catalogue đã duyệt – giữ nguyên thông số cũ</t>
        </is>
      </c>
    </row>
    <row r="15" ht="18" customHeight="1" s="1">
      <c r="A15" s="14" t="n">
        <v>14</v>
      </c>
      <c r="B15" s="14" t="inlineStr">
        <is>
          <t>C6125P</t>
        </is>
      </c>
      <c r="C15" s="14" t="n">
        <v>45</v>
      </c>
      <c r="D15" s="14" t="n">
        <v>30</v>
      </c>
      <c r="E15" s="14" t="n">
        <v>2.1</v>
      </c>
      <c r="F15" s="36" t="inlineStr">
        <is>
          <t>ko có</t>
        </is>
      </c>
      <c r="G15" s="17" t="inlineStr">
        <is>
          <t>ko có</t>
        </is>
      </c>
      <c r="H15" s="19" t="n">
        <v>5200000</v>
      </c>
      <c r="I15" s="14" t="n"/>
      <c r="J15" s="15" t="n">
        <v>2200000</v>
      </c>
      <c r="O15" s="44" t="inlineStr">
        <is>
          <t>Không có trong catalogue đã duyệt – giữ nguyên thông số cũ</t>
        </is>
      </c>
    </row>
    <row r="16" ht="18" customHeight="1" s="1">
      <c r="A16" s="8" t="n">
        <v>15</v>
      </c>
      <c r="B16" s="8" t="inlineStr">
        <is>
          <t>C6250P</t>
        </is>
      </c>
      <c r="C16" s="8" t="n">
        <v>45</v>
      </c>
      <c r="D16" s="8" t="n">
        <v>55</v>
      </c>
      <c r="E16" s="8" t="n">
        <v>0.7</v>
      </c>
      <c r="F16" s="36" t="inlineStr">
        <is>
          <t>ko có</t>
        </is>
      </c>
      <c r="G16" s="17" t="inlineStr">
        <is>
          <t>ko có</t>
        </is>
      </c>
      <c r="H16" s="19" t="n">
        <v>6800000</v>
      </c>
      <c r="I16" s="8" t="n"/>
      <c r="J16" s="12" t="n">
        <v>2200000</v>
      </c>
      <c r="O16" s="44" t="inlineStr">
        <is>
          <t>Không có trong catalogue đã duyệt – giữ nguyên thông số cũ</t>
        </is>
      </c>
    </row>
  </sheetData>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J31"/>
  <sheetViews>
    <sheetView zoomScaleNormal="100" workbookViewId="0">
      <pane ySplit="1" topLeftCell="A10" activePane="bottomLeft" state="frozen"/>
      <selection pane="bottomLeft" activeCell="L32" sqref="L32"/>
    </sheetView>
  </sheetViews>
  <sheetFormatPr baseColWidth="8" defaultColWidth="8.7109375" defaultRowHeight="15"/>
  <cols>
    <col width="5" customWidth="1" style="1" min="1" max="1"/>
    <col width="24" customWidth="1" style="1" min="2" max="2"/>
    <col width="12" customWidth="1" style="1" min="3" max="4"/>
    <col width="13" customWidth="1" style="1" min="5" max="5"/>
    <col width="11" customWidth="1" style="1" min="6" max="6"/>
    <col width="13" customWidth="1" style="1" min="7" max="7"/>
    <col width="14" customWidth="1" style="1" min="8" max="10"/>
  </cols>
  <sheetData>
    <row r="1" ht="30" customHeight="1" s="1">
      <c r="A1" s="2" t="inlineStr">
        <is>
          <t>STT</t>
        </is>
      </c>
      <c r="B1" s="2" t="inlineStr">
        <is>
          <t>MODEL</t>
        </is>
      </c>
      <c r="C1" s="2" t="inlineStr">
        <is>
          <t>Công suất (kW)</t>
        </is>
      </c>
      <c r="D1" s="2" t="inlineStr">
        <is>
          <t>Họng máy (mm)</t>
        </is>
      </c>
      <c r="E1" s="2" t="inlineStr">
        <is>
          <t>Lưu lượng (m3/min)</t>
        </is>
      </c>
      <c r="F1" s="2" t="inlineStr">
        <is>
          <t>Cột áp (KPa)</t>
        </is>
      </c>
      <c r="G1" s="4" t="inlineStr">
        <is>
          <t>Perotac</t>
        </is>
      </c>
      <c r="H1" s="6" t="inlineStr">
        <is>
          <t>Giá nhập gồm công lắp</t>
        </is>
      </c>
      <c r="I1" s="2" t="inlineStr">
        <is>
          <t>Giá đầu Tý</t>
        </is>
      </c>
      <c r="J1" s="2" t="inlineStr">
        <is>
          <t>Giá động cơ Electrim</t>
        </is>
      </c>
    </row>
    <row r="2" ht="18" customHeight="1" s="1">
      <c r="A2" s="8" t="n">
        <v>4</v>
      </c>
      <c r="B2" s="8" t="inlineStr">
        <is>
          <t>RL40-1.1KW</t>
        </is>
      </c>
      <c r="C2" s="8" t="n">
        <v>1.1</v>
      </c>
      <c r="D2" s="8" t="n">
        <v>40</v>
      </c>
      <c r="E2" s="8" t="inlineStr">
        <is>
          <t>0.7 - 2.45</t>
        </is>
      </c>
      <c r="F2" s="8" t="inlineStr">
        <is>
          <t>9.8 - 78.4</t>
        </is>
      </c>
      <c r="G2" s="10" t="n">
        <v>17000000</v>
      </c>
      <c r="H2" s="12" t="n">
        <v>12383000</v>
      </c>
      <c r="I2" s="12" t="n">
        <v>10200000</v>
      </c>
      <c r="J2" s="12" t="n">
        <v>1683000</v>
      </c>
    </row>
    <row r="3" ht="18" customHeight="1" s="1">
      <c r="A3" s="14" t="n">
        <v>5</v>
      </c>
      <c r="B3" s="14" t="inlineStr">
        <is>
          <t>RL40-1.5KW</t>
        </is>
      </c>
      <c r="C3" s="14" t="n">
        <v>1.5</v>
      </c>
      <c r="D3" s="14" t="n">
        <v>40</v>
      </c>
      <c r="E3" s="8" t="inlineStr">
        <is>
          <t>0.7 - 2.45</t>
        </is>
      </c>
      <c r="F3" s="8" t="inlineStr">
        <is>
          <t>9.8 - 78.4</t>
        </is>
      </c>
      <c r="G3" s="10" t="n">
        <v>17200000</v>
      </c>
      <c r="H3" s="15" t="n">
        <v>12617000</v>
      </c>
      <c r="I3" s="15" t="n">
        <v>10200000</v>
      </c>
      <c r="J3" s="15" t="n">
        <v>1917000</v>
      </c>
    </row>
    <row r="4" ht="18" customHeight="1" s="1">
      <c r="A4" s="8" t="n">
        <v>6</v>
      </c>
      <c r="B4" s="8" t="inlineStr">
        <is>
          <t>RL40-2.2KW</t>
        </is>
      </c>
      <c r="C4" s="8" t="n">
        <v>2.2</v>
      </c>
      <c r="D4" s="8" t="n">
        <v>40</v>
      </c>
      <c r="E4" s="8" t="inlineStr">
        <is>
          <t>0.7 - 2.45</t>
        </is>
      </c>
      <c r="F4" s="8" t="inlineStr">
        <is>
          <t>9.8 - 78.4</t>
        </is>
      </c>
      <c r="G4" s="10" t="n">
        <v>17800000</v>
      </c>
      <c r="H4" s="12" t="n">
        <v>13211000</v>
      </c>
      <c r="I4" s="12" t="n">
        <v>10200000</v>
      </c>
      <c r="J4" s="12" t="n">
        <v>2511000</v>
      </c>
    </row>
    <row r="5" ht="18" customHeight="1" s="1">
      <c r="A5" s="14" t="n">
        <v>9</v>
      </c>
      <c r="B5" s="14" t="inlineStr">
        <is>
          <t>RL50-1.5KW</t>
        </is>
      </c>
      <c r="C5" s="14" t="n">
        <v>1.5</v>
      </c>
      <c r="D5" s="14" t="n">
        <v>50</v>
      </c>
      <c r="E5" s="14" t="inlineStr">
        <is>
          <t>1.16 - 4.08</t>
        </is>
      </c>
      <c r="F5" s="8" t="inlineStr">
        <is>
          <t>9.8 - 78.4</t>
        </is>
      </c>
      <c r="G5" s="10" t="n">
        <v>21800000</v>
      </c>
      <c r="H5" s="15" t="n">
        <v>15417000</v>
      </c>
      <c r="I5" s="15" t="n">
        <v>13000000</v>
      </c>
      <c r="J5" s="15" t="n">
        <v>1917000</v>
      </c>
    </row>
    <row r="6" ht="18" customHeight="1" s="1">
      <c r="A6" s="8" t="n">
        <v>10</v>
      </c>
      <c r="B6" s="8" t="inlineStr">
        <is>
          <t>RL50-2.2KW</t>
        </is>
      </c>
      <c r="C6" s="8" t="n">
        <v>2.2</v>
      </c>
      <c r="D6" s="8" t="n">
        <v>50</v>
      </c>
      <c r="E6" s="14" t="inlineStr">
        <is>
          <t>1.16 - 4.08</t>
        </is>
      </c>
      <c r="F6" s="8" t="inlineStr">
        <is>
          <t>9.8 - 78.4</t>
        </is>
      </c>
      <c r="G6" s="10" t="n">
        <v>22400000</v>
      </c>
      <c r="H6" s="12" t="n">
        <v>16011000</v>
      </c>
      <c r="I6" s="12" t="n">
        <v>13000000</v>
      </c>
      <c r="J6" s="12" t="n">
        <v>2511000</v>
      </c>
    </row>
    <row r="7" ht="18" customHeight="1" s="1">
      <c r="A7" s="14" t="n">
        <v>11</v>
      </c>
      <c r="B7" s="14" t="inlineStr">
        <is>
          <t>RL50-3KW</t>
        </is>
      </c>
      <c r="C7" s="14" t="n">
        <v>3</v>
      </c>
      <c r="D7" s="14" t="n">
        <v>50</v>
      </c>
      <c r="E7" s="14" t="inlineStr">
        <is>
          <t>1.16 - 4.08</t>
        </is>
      </c>
      <c r="F7" s="8" t="inlineStr">
        <is>
          <t>9.8 - 78.4</t>
        </is>
      </c>
      <c r="G7" s="10" t="n">
        <v>22700000</v>
      </c>
      <c r="H7" s="15" t="n">
        <v>16299000</v>
      </c>
      <c r="I7" s="15" t="n">
        <v>13000000</v>
      </c>
      <c r="J7" s="15" t="n">
        <v>2799000</v>
      </c>
    </row>
    <row r="8" ht="18" customHeight="1" s="1">
      <c r="A8" s="8" t="n">
        <v>12</v>
      </c>
      <c r="B8" s="8" t="inlineStr">
        <is>
          <t>RL50-4KW</t>
        </is>
      </c>
      <c r="C8" s="8" t="n">
        <v>4</v>
      </c>
      <c r="D8" s="8" t="n">
        <v>50</v>
      </c>
      <c r="E8" s="14" t="inlineStr">
        <is>
          <t>1.16 - 4.08</t>
        </is>
      </c>
      <c r="F8" s="8" t="inlineStr">
        <is>
          <t>9.8 - 78.4</t>
        </is>
      </c>
      <c r="G8" s="10" t="n">
        <v>23400000</v>
      </c>
      <c r="H8" s="12" t="n">
        <v>17082000</v>
      </c>
      <c r="I8" s="12" t="n">
        <v>13000000</v>
      </c>
      <c r="J8" s="12" t="n">
        <v>3582000</v>
      </c>
    </row>
    <row r="9" ht="18" customHeight="1" s="1">
      <c r="A9" s="14" t="n">
        <v>13</v>
      </c>
      <c r="B9" s="14" t="inlineStr">
        <is>
          <t>RL50-5.5KW</t>
        </is>
      </c>
      <c r="C9" s="14" t="n">
        <v>5.5</v>
      </c>
      <c r="D9" s="14" t="n">
        <v>50</v>
      </c>
      <c r="E9" s="14" t="inlineStr">
        <is>
          <t>1.16 - 4.08</t>
        </is>
      </c>
      <c r="F9" s="8" t="inlineStr">
        <is>
          <t>9.8 - 78.4</t>
        </is>
      </c>
      <c r="G9" s="10" t="n">
        <v>24700000</v>
      </c>
      <c r="H9" s="15" t="n">
        <v>18297000</v>
      </c>
      <c r="I9" s="15" t="n">
        <v>13000000</v>
      </c>
      <c r="J9" s="15" t="n">
        <v>4797000</v>
      </c>
    </row>
    <row r="10" ht="18" customHeight="1" s="1">
      <c r="A10" s="8" t="n">
        <v>15</v>
      </c>
      <c r="B10" s="8" t="inlineStr">
        <is>
          <t>RL65-2.2KW</t>
        </is>
      </c>
      <c r="C10" s="8" t="n">
        <v>2.2</v>
      </c>
      <c r="D10" s="8" t="n">
        <v>65</v>
      </c>
      <c r="E10" s="8" t="inlineStr">
        <is>
          <t>1.95 - 5.71</t>
        </is>
      </c>
      <c r="F10" s="8" t="inlineStr">
        <is>
          <t>9.8 - 78.4</t>
        </is>
      </c>
      <c r="G10" s="10" t="n">
        <v>24200000</v>
      </c>
      <c r="H10" s="12" t="n">
        <v>17511000</v>
      </c>
      <c r="I10" s="12" t="n">
        <v>14500000</v>
      </c>
      <c r="J10" s="12" t="n">
        <v>2511000</v>
      </c>
    </row>
    <row r="11" ht="18" customHeight="1" s="1">
      <c r="A11" s="14" t="n">
        <v>16</v>
      </c>
      <c r="B11" s="14" t="inlineStr">
        <is>
          <t>RL65-3KW</t>
        </is>
      </c>
      <c r="C11" s="14" t="n">
        <v>3</v>
      </c>
      <c r="D11" s="14" t="n">
        <v>65</v>
      </c>
      <c r="E11" s="8" t="inlineStr">
        <is>
          <t>1.95 - 5.71</t>
        </is>
      </c>
      <c r="F11" s="8" t="inlineStr">
        <is>
          <t>9.8 - 78.4</t>
        </is>
      </c>
      <c r="G11" s="10" t="n">
        <v>24400000</v>
      </c>
      <c r="H11" s="15" t="n">
        <v>17799000</v>
      </c>
      <c r="I11" s="15" t="n">
        <v>14500000</v>
      </c>
      <c r="J11" s="15" t="n">
        <v>2799000</v>
      </c>
    </row>
    <row r="12" ht="18" customHeight="1" s="1">
      <c r="A12" s="8" t="n">
        <v>17</v>
      </c>
      <c r="B12" s="8" t="inlineStr">
        <is>
          <t>RL65-4KW</t>
        </is>
      </c>
      <c r="C12" s="8" t="n">
        <v>4</v>
      </c>
      <c r="D12" s="8" t="n">
        <v>65</v>
      </c>
      <c r="E12" s="8" t="inlineStr">
        <is>
          <t>1.95 - 5.71</t>
        </is>
      </c>
      <c r="F12" s="8" t="inlineStr">
        <is>
          <t>9.8 - 78.4</t>
        </is>
      </c>
      <c r="G12" s="10" t="n">
        <v>25200000</v>
      </c>
      <c r="H12" s="12" t="n">
        <v>18582000</v>
      </c>
      <c r="I12" s="12" t="n">
        <v>14500000</v>
      </c>
      <c r="J12" s="12" t="n">
        <v>3582000</v>
      </c>
    </row>
    <row r="13" ht="18" customHeight="1" s="1">
      <c r="A13" s="14" t="n">
        <v>18</v>
      </c>
      <c r="B13" s="14" t="inlineStr">
        <is>
          <t>RL65-5.5KW</t>
        </is>
      </c>
      <c r="C13" s="14" t="n">
        <v>5.5</v>
      </c>
      <c r="D13" s="14" t="n">
        <v>65</v>
      </c>
      <c r="E13" s="8" t="inlineStr">
        <is>
          <t>1.95 - 5.71</t>
        </is>
      </c>
      <c r="F13" s="8" t="inlineStr">
        <is>
          <t>9.8 - 78.4</t>
        </is>
      </c>
      <c r="G13" s="10" t="n">
        <v>26400000</v>
      </c>
      <c r="H13" s="15" t="n">
        <v>19797000</v>
      </c>
      <c r="I13" s="15" t="n">
        <v>14500000</v>
      </c>
      <c r="J13" s="15" t="n">
        <v>4797000</v>
      </c>
    </row>
    <row r="14" ht="18" customHeight="1" s="1">
      <c r="A14" s="8" t="n">
        <v>19</v>
      </c>
      <c r="B14" s="8" t="inlineStr">
        <is>
          <t>RL65-7.5KW</t>
        </is>
      </c>
      <c r="C14" s="8" t="n">
        <v>7.5</v>
      </c>
      <c r="D14" s="8" t="n">
        <v>65</v>
      </c>
      <c r="E14" s="8" t="inlineStr">
        <is>
          <t>1.95 - 5.71</t>
        </is>
      </c>
      <c r="F14" s="8" t="inlineStr">
        <is>
          <t>9.8 - 78.4</t>
        </is>
      </c>
      <c r="G14" s="10" t="n">
        <v>27200000</v>
      </c>
      <c r="H14" s="12" t="n">
        <v>20382000</v>
      </c>
      <c r="I14" s="12" t="n">
        <v>14500000</v>
      </c>
      <c r="J14" s="12" t="n">
        <v>5382000</v>
      </c>
    </row>
    <row r="15" ht="18" customHeight="1" s="1">
      <c r="A15" s="14" t="n">
        <v>3</v>
      </c>
      <c r="B15" s="14" t="inlineStr">
        <is>
          <t>RL80-5.5KW</t>
        </is>
      </c>
      <c r="C15" s="14" t="n">
        <v>5.5</v>
      </c>
      <c r="D15" s="14" t="n">
        <v>80</v>
      </c>
      <c r="E15" s="14" t="inlineStr">
        <is>
          <t>2.91 - 9.32</t>
        </is>
      </c>
      <c r="F15" s="8" t="inlineStr">
        <is>
          <t>9.8 - 78.4</t>
        </is>
      </c>
      <c r="G15" s="10" t="n">
        <v>36800000</v>
      </c>
      <c r="H15" s="15" t="n">
        <v>28597000</v>
      </c>
      <c r="I15" s="15" t="n">
        <v>23000000</v>
      </c>
      <c r="J15" s="15" t="n">
        <v>4797000</v>
      </c>
    </row>
    <row r="16" ht="18" customHeight="1" s="1">
      <c r="A16" s="8" t="n">
        <v>4</v>
      </c>
      <c r="B16" s="8" t="inlineStr">
        <is>
          <t>RL80-7.5KW</t>
        </is>
      </c>
      <c r="C16" s="8" t="n">
        <v>7.5</v>
      </c>
      <c r="D16" s="8" t="n">
        <v>80</v>
      </c>
      <c r="E16" s="14" t="inlineStr">
        <is>
          <t>2.91 - 9.32</t>
        </is>
      </c>
      <c r="F16" s="8" t="inlineStr">
        <is>
          <t>9.8 - 78.4</t>
        </is>
      </c>
      <c r="G16" s="10" t="n">
        <v>37300000</v>
      </c>
      <c r="H16" s="12" t="n">
        <v>29182000</v>
      </c>
      <c r="I16" s="12" t="n">
        <v>23000000</v>
      </c>
      <c r="J16" s="12" t="n">
        <v>5382000</v>
      </c>
    </row>
    <row r="17" ht="18" customHeight="1" s="1">
      <c r="A17" s="14" t="n">
        <v>5</v>
      </c>
      <c r="B17" s="14" t="inlineStr">
        <is>
          <t>RL80-11KW</t>
        </is>
      </c>
      <c r="C17" s="14" t="n">
        <v>11</v>
      </c>
      <c r="D17" s="14" t="n">
        <v>80</v>
      </c>
      <c r="E17" s="14" t="inlineStr">
        <is>
          <t>2.91 - 9.32</t>
        </is>
      </c>
      <c r="F17" s="8" t="inlineStr">
        <is>
          <t>9.8 - 78.4</t>
        </is>
      </c>
      <c r="G17" s="10" t="n">
        <v>40300000</v>
      </c>
      <c r="H17" s="15" t="n">
        <v>32170000</v>
      </c>
      <c r="I17" s="15" t="n">
        <v>23000000</v>
      </c>
      <c r="J17" s="15" t="n">
        <v>8370000</v>
      </c>
    </row>
    <row r="18" ht="18" customHeight="1" s="1">
      <c r="A18" s="8" t="n">
        <v>6</v>
      </c>
      <c r="B18" s="8" t="inlineStr">
        <is>
          <t>RL100-5.5KW</t>
        </is>
      </c>
      <c r="C18" s="8" t="n">
        <v>5.5</v>
      </c>
      <c r="D18" s="8" t="n">
        <v>100</v>
      </c>
      <c r="E18" s="8" t="inlineStr">
        <is>
          <t>5.08 - 14.65</t>
        </is>
      </c>
      <c r="F18" s="8" t="inlineStr">
        <is>
          <t>9.8 - 78.4</t>
        </is>
      </c>
      <c r="G18" s="10" t="n">
        <v>42800000</v>
      </c>
      <c r="H18" s="12" t="n">
        <v>30597000</v>
      </c>
      <c r="I18" s="12" t="n">
        <v>25000000</v>
      </c>
      <c r="J18" s="12" t="n">
        <v>4797000</v>
      </c>
    </row>
    <row r="19" ht="18" customHeight="1" s="1">
      <c r="A19" s="14" t="n">
        <v>7</v>
      </c>
      <c r="B19" s="14" t="inlineStr">
        <is>
          <t>RL100-7.5KW</t>
        </is>
      </c>
      <c r="C19" s="14" t="n">
        <v>7.5</v>
      </c>
      <c r="D19" s="14" t="n">
        <v>100</v>
      </c>
      <c r="E19" s="8" t="inlineStr">
        <is>
          <t>5.08 - 14.65</t>
        </is>
      </c>
      <c r="F19" s="8" t="inlineStr">
        <is>
          <t>9.8 - 78.4</t>
        </is>
      </c>
      <c r="G19" s="10" t="n">
        <v>43300000</v>
      </c>
      <c r="H19" s="15" t="n">
        <v>31182000</v>
      </c>
      <c r="I19" s="15" t="n">
        <v>25000000</v>
      </c>
      <c r="J19" s="15" t="n">
        <v>5382000</v>
      </c>
    </row>
    <row r="20" ht="18" customHeight="1" s="1">
      <c r="A20" s="8" t="n">
        <v>8</v>
      </c>
      <c r="B20" s="8" t="inlineStr">
        <is>
          <t>RL100-11KW</t>
        </is>
      </c>
      <c r="C20" s="8" t="n">
        <v>11</v>
      </c>
      <c r="D20" s="8" t="n">
        <v>100</v>
      </c>
      <c r="E20" s="8" t="inlineStr">
        <is>
          <t>5.08 - 14.65</t>
        </is>
      </c>
      <c r="F20" s="8" t="inlineStr">
        <is>
          <t>9.8 - 78.4</t>
        </is>
      </c>
      <c r="G20" s="10" t="n">
        <v>46300000</v>
      </c>
      <c r="H20" s="12" t="n">
        <v>34170000</v>
      </c>
      <c r="I20" s="12" t="n">
        <v>25000000</v>
      </c>
      <c r="J20" s="12" t="n">
        <v>8370000</v>
      </c>
    </row>
    <row r="21" ht="18" customHeight="1" s="1">
      <c r="A21" s="14" t="n">
        <v>9</v>
      </c>
      <c r="B21" s="14" t="inlineStr">
        <is>
          <t>RL100-15KW</t>
        </is>
      </c>
      <c r="C21" s="14" t="n">
        <v>15</v>
      </c>
      <c r="D21" s="14" t="n">
        <v>100</v>
      </c>
      <c r="E21" s="8" t="inlineStr">
        <is>
          <t>5.08 - 14.65</t>
        </is>
      </c>
      <c r="F21" s="8" t="inlineStr">
        <is>
          <t>9.8 - 78.4</t>
        </is>
      </c>
      <c r="G21" s="10" t="n">
        <v>47800000</v>
      </c>
      <c r="H21" s="15" t="n">
        <v>35592000</v>
      </c>
      <c r="I21" s="15" t="n">
        <v>25000000</v>
      </c>
      <c r="J21" s="15" t="n">
        <v>9792000</v>
      </c>
    </row>
    <row r="22" ht="18" customHeight="1" s="1">
      <c r="A22" s="8" t="n">
        <v>10</v>
      </c>
      <c r="B22" s="8" t="inlineStr">
        <is>
          <t>RL125-11KW</t>
        </is>
      </c>
      <c r="C22" s="8" t="n">
        <v>11</v>
      </c>
      <c r="D22" s="8" t="n">
        <v>125</v>
      </c>
      <c r="E22" s="8" t="inlineStr">
        <is>
          <t>9.94 - 28.74</t>
        </is>
      </c>
      <c r="F22" s="8" t="inlineStr">
        <is>
          <t>9.8 - 78.4</t>
        </is>
      </c>
      <c r="G22" s="10" t="n">
        <v>70500000</v>
      </c>
      <c r="H22" s="12" t="n">
        <v>52670000</v>
      </c>
      <c r="I22" s="12" t="n">
        <v>43400000</v>
      </c>
      <c r="J22" s="12" t="n">
        <v>8370000</v>
      </c>
    </row>
    <row r="23" ht="18" customHeight="1" s="1">
      <c r="A23" s="14" t="n">
        <v>11</v>
      </c>
      <c r="B23" s="14" t="inlineStr">
        <is>
          <t>RL125-15KW</t>
        </is>
      </c>
      <c r="C23" s="14" t="n">
        <v>15</v>
      </c>
      <c r="D23" s="14" t="n">
        <v>125</v>
      </c>
      <c r="E23" s="8" t="inlineStr">
        <is>
          <t>9.94 - 28.74</t>
        </is>
      </c>
      <c r="F23" s="8" t="inlineStr">
        <is>
          <t>9.8 - 78.4</t>
        </is>
      </c>
      <c r="G23" s="10" t="n">
        <v>73000000</v>
      </c>
      <c r="H23" s="15" t="n">
        <v>54092000</v>
      </c>
      <c r="I23" s="15" t="n">
        <v>43400000</v>
      </c>
      <c r="J23" s="15" t="n">
        <v>9792000</v>
      </c>
    </row>
    <row r="24" ht="18" customHeight="1" s="1">
      <c r="A24" s="8" t="n">
        <v>12</v>
      </c>
      <c r="B24" s="8" t="inlineStr">
        <is>
          <t>RL125-18.5KW</t>
        </is>
      </c>
      <c r="C24" s="8" t="n">
        <v>18.5</v>
      </c>
      <c r="D24" s="8" t="n">
        <v>125</v>
      </c>
      <c r="E24" s="8" t="inlineStr">
        <is>
          <t>9.94 - 28.74</t>
        </is>
      </c>
      <c r="F24" s="8" t="inlineStr">
        <is>
          <t>9.8 - 78.4</t>
        </is>
      </c>
      <c r="G24" s="10" t="n">
        <v>75500000</v>
      </c>
      <c r="H24" s="12" t="n">
        <v>56510000</v>
      </c>
      <c r="I24" s="12" t="n">
        <v>43400000</v>
      </c>
      <c r="J24" s="12" t="n">
        <v>12210000</v>
      </c>
    </row>
    <row r="25" ht="18" customHeight="1" s="1">
      <c r="A25" s="14" t="n">
        <v>12</v>
      </c>
      <c r="B25" s="14" t="inlineStr">
        <is>
          <t>RL125-22KW</t>
        </is>
      </c>
      <c r="C25" s="14" t="n">
        <v>22</v>
      </c>
      <c r="D25" s="14" t="n">
        <v>125</v>
      </c>
      <c r="E25" s="8" t="inlineStr">
        <is>
          <t>9.94 - 28.74</t>
        </is>
      </c>
      <c r="F25" s="8" t="inlineStr">
        <is>
          <t>9.8 - 78.4</t>
        </is>
      </c>
      <c r="G25" s="10" t="n">
        <v>77000000</v>
      </c>
      <c r="H25" s="15" t="n">
        <v>57000000</v>
      </c>
      <c r="I25" s="15" t="n">
        <v>43400000</v>
      </c>
      <c r="J25" s="15" t="n">
        <v>13600000</v>
      </c>
    </row>
    <row r="26" ht="18" customHeight="1" s="1">
      <c r="A26" s="8" t="n">
        <v>20</v>
      </c>
      <c r="B26" s="8" t="inlineStr">
        <is>
          <t>RL125-30KW</t>
        </is>
      </c>
      <c r="C26" s="8" t="n">
        <v>30</v>
      </c>
      <c r="D26" s="8" t="n">
        <v>125</v>
      </c>
      <c r="E26" s="8" t="inlineStr">
        <is>
          <t>9.94 - 28.74</t>
        </is>
      </c>
      <c r="F26" s="8" t="inlineStr">
        <is>
          <t>9.8 - 78.4</t>
        </is>
      </c>
      <c r="G26" s="10" t="n">
        <v>81000000</v>
      </c>
      <c r="H26" s="12" t="n">
        <v>61760000</v>
      </c>
      <c r="I26" s="12" t="n">
        <v>43400000</v>
      </c>
      <c r="J26" s="12" t="n">
        <v>17460000</v>
      </c>
    </row>
    <row r="27" ht="18" customHeight="1" s="1">
      <c r="A27" s="14" t="n">
        <v>1</v>
      </c>
      <c r="B27" s="14" t="inlineStr">
        <is>
          <t>RL150-15KW</t>
        </is>
      </c>
      <c r="C27" s="14" t="n">
        <v>15</v>
      </c>
      <c r="D27" s="14" t="n">
        <v>150</v>
      </c>
      <c r="E27" s="14" t="inlineStr">
        <is>
          <t>13.09 - 37.26</t>
        </is>
      </c>
      <c r="F27" s="8" t="inlineStr">
        <is>
          <t>9.8 - 78.4</t>
        </is>
      </c>
      <c r="G27" s="10" t="n">
        <v>80500000</v>
      </c>
      <c r="H27" s="15" t="n">
        <v>56792000</v>
      </c>
      <c r="I27" s="15" t="n">
        <v>47000000</v>
      </c>
      <c r="J27" s="15" t="n">
        <v>9792000</v>
      </c>
    </row>
    <row r="28" ht="18" customHeight="1" s="1">
      <c r="A28" s="8" t="n">
        <v>2</v>
      </c>
      <c r="B28" s="8" t="inlineStr">
        <is>
          <t>RL150-18.5KW</t>
        </is>
      </c>
      <c r="C28" s="8" t="n">
        <v>18.5</v>
      </c>
      <c r="D28" s="8" t="n">
        <v>150</v>
      </c>
      <c r="E28" s="14" t="inlineStr">
        <is>
          <t>13.09 - 37.26</t>
        </is>
      </c>
      <c r="F28" s="8" t="inlineStr">
        <is>
          <t>9.8 - 78.4</t>
        </is>
      </c>
      <c r="G28" s="10" t="n">
        <v>83000000</v>
      </c>
      <c r="H28" s="12" t="n">
        <v>59210000</v>
      </c>
      <c r="I28" s="12" t="n">
        <v>47000000</v>
      </c>
      <c r="J28" s="12" t="n">
        <v>12210000</v>
      </c>
    </row>
    <row r="29" ht="18" customHeight="1" s="1">
      <c r="A29" s="14" t="n">
        <v>3</v>
      </c>
      <c r="B29" s="14" t="inlineStr">
        <is>
          <t>RL150-22KW</t>
        </is>
      </c>
      <c r="C29" s="14" t="n">
        <v>22</v>
      </c>
      <c r="D29" s="14" t="n">
        <v>150</v>
      </c>
      <c r="E29" s="14" t="inlineStr">
        <is>
          <t>13.09 - 37.26</t>
        </is>
      </c>
      <c r="F29" s="8" t="inlineStr">
        <is>
          <t>9.8 - 78.4</t>
        </is>
      </c>
      <c r="G29" s="10" t="n">
        <v>84500000</v>
      </c>
      <c r="H29" s="15" t="n">
        <v>61500000</v>
      </c>
      <c r="I29" s="15" t="n">
        <v>47000000</v>
      </c>
      <c r="J29" s="15" t="n">
        <v>13600000</v>
      </c>
    </row>
    <row r="30" ht="18" customHeight="1" s="1">
      <c r="A30" s="8" t="n">
        <v>3</v>
      </c>
      <c r="B30" s="8" t="inlineStr">
        <is>
          <t>RL150-30KW</t>
        </is>
      </c>
      <c r="C30" s="8" t="n">
        <v>30</v>
      </c>
      <c r="D30" s="8" t="n">
        <v>150</v>
      </c>
      <c r="E30" s="14" t="inlineStr">
        <is>
          <t>13.09 - 37.26</t>
        </is>
      </c>
      <c r="F30" s="8" t="inlineStr">
        <is>
          <t>9.8 - 78.4</t>
        </is>
      </c>
      <c r="G30" s="10" t="n">
        <v>88500000</v>
      </c>
      <c r="H30" s="12" t="n">
        <v>65360000</v>
      </c>
      <c r="I30" s="12" t="n">
        <v>47000000</v>
      </c>
      <c r="J30" s="12" t="n">
        <v>17460000</v>
      </c>
    </row>
    <row r="31" ht="18" customHeight="1" s="1">
      <c r="A31" s="14" t="n">
        <v>4</v>
      </c>
      <c r="B31" s="14" t="inlineStr">
        <is>
          <t>RL150-37KW</t>
        </is>
      </c>
      <c r="C31" s="14" t="n">
        <v>37</v>
      </c>
      <c r="D31" s="14" t="n">
        <v>150</v>
      </c>
      <c r="E31" s="14" t="inlineStr">
        <is>
          <t>13.09 - 37.26</t>
        </is>
      </c>
      <c r="F31" s="8" t="inlineStr">
        <is>
          <t>9.8 - 78.4</t>
        </is>
      </c>
      <c r="G31" s="10" t="n">
        <v>94000000</v>
      </c>
      <c r="H31" s="15" t="n">
        <v>70400000</v>
      </c>
      <c r="I31" s="15" t="n">
        <v>47000000</v>
      </c>
      <c r="J31" s="15" t="n">
        <v>22500000</v>
      </c>
    </row>
  </sheetData>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27"/>
  <sheetViews>
    <sheetView zoomScaleNormal="100" workbookViewId="0">
      <pane ySplit="1" topLeftCell="A2" activePane="bottomLeft" state="frozen"/>
      <selection pane="bottomLeft" activeCell="M16" sqref="M16"/>
    </sheetView>
  </sheetViews>
  <sheetFormatPr baseColWidth="8" defaultColWidth="8.7109375" defaultRowHeight="15"/>
  <cols>
    <col width="18" customWidth="1" style="29" min="1" max="1"/>
    <col width="5" customWidth="1" style="29" min="2" max="2"/>
    <col width="24" customWidth="1" style="29" min="3" max="5"/>
    <col width="60" customWidth="1" style="29" min="6" max="16384"/>
  </cols>
  <sheetData>
    <row r="1" ht="30" customHeight="1" s="1">
      <c r="A1" s="2" t="inlineStr">
        <is>
          <t>Loại</t>
        </is>
      </c>
      <c r="B1" s="2" t="inlineStr">
        <is>
          <t>STT</t>
        </is>
      </c>
      <c r="C1" s="2" t="inlineStr">
        <is>
          <t>Model</t>
        </is>
      </c>
      <c r="D1" s="2" t="inlineStr">
        <is>
          <t>Giá bán</t>
        </is>
      </c>
      <c r="E1" s="6" t="inlineStr">
        <is>
          <t>Giá nhập</t>
        </is>
      </c>
      <c r="F1" s="42" t="inlineStr">
        <is>
          <t>Ghi chú</t>
        </is>
      </c>
    </row>
    <row r="2" ht="18" customHeight="1" s="1">
      <c r="A2" s="8" t="inlineStr">
        <is>
          <t>Khớp nối nhanh</t>
        </is>
      </c>
      <c r="B2" s="8" t="n">
        <v>1</v>
      </c>
      <c r="C2" s="8" t="inlineStr">
        <is>
          <t>TOS-2</t>
        </is>
      </c>
      <c r="D2" s="12" t="n">
        <v>1850000</v>
      </c>
      <c r="E2" s="12" t="n">
        <v>1450000</v>
      </c>
    </row>
    <row r="3" ht="18" customHeight="1" s="1">
      <c r="A3" s="14" t="inlineStr">
        <is>
          <t>Khớp nối nhanh</t>
        </is>
      </c>
      <c r="B3" s="14" t="n">
        <v>2</v>
      </c>
      <c r="C3" s="14" t="inlineStr">
        <is>
          <t>DN50</t>
        </is>
      </c>
      <c r="D3" s="15" t="n">
        <v>1850000</v>
      </c>
      <c r="E3" s="15" t="n">
        <v>1000000</v>
      </c>
    </row>
    <row r="4" ht="18" customHeight="1" s="1">
      <c r="A4" s="8" t="inlineStr">
        <is>
          <t>Khớp nối nhanh</t>
        </is>
      </c>
      <c r="B4" s="8" t="n">
        <v>3</v>
      </c>
      <c r="C4" s="8" t="inlineStr">
        <is>
          <t>DN65</t>
        </is>
      </c>
      <c r="D4" s="12" t="n">
        <v>2100000</v>
      </c>
      <c r="E4" s="12" t="n">
        <v>1250000</v>
      </c>
    </row>
    <row r="5" ht="18" customHeight="1" s="1">
      <c r="A5" s="14" t="inlineStr">
        <is>
          <t>Khớp nối nhanh</t>
        </is>
      </c>
      <c r="B5" s="8" t="n">
        <v>4</v>
      </c>
      <c r="C5" s="14" t="inlineStr">
        <is>
          <t>DN80</t>
        </is>
      </c>
      <c r="D5" s="15" t="n">
        <v>3500000</v>
      </c>
      <c r="E5" s="15" t="n">
        <v>1500000</v>
      </c>
    </row>
    <row r="6" ht="18" customHeight="1" s="1">
      <c r="A6" s="8" t="inlineStr">
        <is>
          <t>Khớp nối nhanh</t>
        </is>
      </c>
      <c r="B6" s="14" t="n">
        <v>5</v>
      </c>
      <c r="C6" s="8" t="inlineStr">
        <is>
          <t>DN100</t>
        </is>
      </c>
      <c r="D6" s="12" t="n">
        <v>4200000</v>
      </c>
      <c r="E6" s="12" t="n">
        <v>2100000</v>
      </c>
    </row>
    <row r="7" ht="18" customHeight="1" s="1">
      <c r="A7" s="14" t="inlineStr">
        <is>
          <t>Khớp nối nhanh</t>
        </is>
      </c>
      <c r="B7" s="8" t="n">
        <v>6</v>
      </c>
      <c r="C7" s="14" t="inlineStr">
        <is>
          <t>DN150</t>
        </is>
      </c>
      <c r="D7" s="15" t="n">
        <v>9350000</v>
      </c>
      <c r="E7" s="15" t="n">
        <v>5500000</v>
      </c>
    </row>
    <row r="8" ht="18" customHeight="1" s="1">
      <c r="A8" s="8" t="inlineStr">
        <is>
          <t>Khớp nối nhanh</t>
        </is>
      </c>
      <c r="B8" s="8" t="n">
        <v>7</v>
      </c>
      <c r="C8" s="8" t="inlineStr">
        <is>
          <t>DN200</t>
        </is>
      </c>
      <c r="D8" s="12" t="n">
        <v>12000000</v>
      </c>
      <c r="E8" s="12" t="n">
        <v>8000000</v>
      </c>
    </row>
    <row r="9" ht="18" customHeight="1" s="1">
      <c r="A9" s="14" t="inlineStr">
        <is>
          <t>Đĩa phân phối khí</t>
        </is>
      </c>
      <c r="B9" s="14" t="n">
        <v>8</v>
      </c>
      <c r="C9" s="14" t="inlineStr">
        <is>
          <t>CBD105</t>
        </is>
      </c>
      <c r="D9" s="15" t="n">
        <v>155000</v>
      </c>
      <c r="E9" s="15" t="n">
        <v>155000</v>
      </c>
    </row>
    <row r="10" ht="18" customHeight="1" s="1">
      <c r="A10" s="8" t="inlineStr">
        <is>
          <t>Đĩa phân phối khí</t>
        </is>
      </c>
      <c r="B10" s="8" t="n">
        <v>9</v>
      </c>
      <c r="C10" s="8" t="inlineStr">
        <is>
          <t>HD270</t>
        </is>
      </c>
      <c r="D10" s="12" t="n">
        <v>245000</v>
      </c>
      <c r="E10" s="12" t="n">
        <v>290000</v>
      </c>
    </row>
    <row r="11" ht="18" customHeight="1" s="1">
      <c r="A11" s="14" t="inlineStr">
        <is>
          <t>Đĩa phân phối khí</t>
        </is>
      </c>
      <c r="B11" s="8" t="n">
        <v>10</v>
      </c>
      <c r="C11" s="14" t="inlineStr">
        <is>
          <t>DN168</t>
        </is>
      </c>
      <c r="D11" s="15" t="n">
        <v>130000</v>
      </c>
      <c r="E11" s="15" t="n">
        <v>100000</v>
      </c>
    </row>
    <row r="12" ht="18" customHeight="1" s="1">
      <c r="A12" s="8" t="inlineStr">
        <is>
          <t>Đĩa phân phối khí</t>
        </is>
      </c>
      <c r="B12" s="14" t="n">
        <v>11</v>
      </c>
      <c r="C12" s="8" t="inlineStr">
        <is>
          <t>DN270</t>
        </is>
      </c>
      <c r="D12" s="12" t="n">
        <v>180000</v>
      </c>
      <c r="E12" s="12" t="n">
        <v>120000</v>
      </c>
    </row>
    <row r="13" ht="18" customHeight="1" s="1">
      <c r="A13" s="49" t="inlineStr">
        <is>
          <t>Đĩa phân phối khí</t>
        </is>
      </c>
      <c r="B13" s="49" t="n"/>
      <c r="C13" s="49" t="inlineStr">
        <is>
          <t>DN128</t>
        </is>
      </c>
      <c r="D13" s="50" t="n"/>
      <c r="E13" s="50" t="n"/>
      <c r="F13" t="inlineStr">
        <is>
          <t>Dòng MỚI: đĩa bọt thô DN128 (5 inch) theo catalogue PEROTAC/REDPUMP Đĩa phân phối khí DN270-DN128 – chưa có giá</t>
        </is>
      </c>
    </row>
    <row r="14" ht="18" customHeight="1" s="1">
      <c r="A14" s="14" t="inlineStr">
        <is>
          <t>Phao điện 3M</t>
        </is>
      </c>
      <c r="B14" s="8" t="n">
        <v>12</v>
      </c>
      <c r="C14" s="14" t="inlineStr">
        <is>
          <t>T-80</t>
        </is>
      </c>
      <c r="D14" s="15" t="n">
        <v>150000</v>
      </c>
      <c r="E14" s="15" t="n">
        <v>60000</v>
      </c>
    </row>
    <row r="15" ht="18" customHeight="1" s="1">
      <c r="A15" s="8" t="inlineStr">
        <is>
          <t>Phao điện 5m</t>
        </is>
      </c>
      <c r="B15" s="8" t="n">
        <v>13</v>
      </c>
      <c r="C15" s="8" t="inlineStr">
        <is>
          <t>T-100</t>
        </is>
      </c>
      <c r="D15" s="12" t="n">
        <v>200000</v>
      </c>
      <c r="E15" s="12" t="n">
        <v>90000</v>
      </c>
    </row>
    <row r="16" ht="18" customHeight="1" s="1">
      <c r="A16" s="14" t="inlineStr">
        <is>
          <t>Ống Bạt DN50-50m</t>
        </is>
      </c>
      <c r="B16" s="14" t="n">
        <v>14</v>
      </c>
      <c r="C16" s="14" t="inlineStr">
        <is>
          <t>DN50-50M</t>
        </is>
      </c>
      <c r="D16" s="15" t="n">
        <v>650000</v>
      </c>
      <c r="E16" s="15" t="n">
        <v>432870</v>
      </c>
    </row>
    <row r="17" ht="18" customHeight="1" s="1">
      <c r="A17" s="8" t="inlineStr">
        <is>
          <t>Ống Bạt DN65-50m</t>
        </is>
      </c>
      <c r="B17" s="8" t="n">
        <v>15</v>
      </c>
      <c r="C17" s="8" t="inlineStr">
        <is>
          <t>DN65-50M</t>
        </is>
      </c>
      <c r="D17" s="12" t="n">
        <v>850000</v>
      </c>
      <c r="E17" s="12" t="n">
        <v>630000</v>
      </c>
    </row>
    <row r="18" ht="18" customHeight="1" s="1">
      <c r="A18" s="14" t="inlineStr">
        <is>
          <t>Ống Bạt DN80-50m</t>
        </is>
      </c>
      <c r="B18" s="8" t="n">
        <v>16</v>
      </c>
      <c r="C18" s="14" t="inlineStr">
        <is>
          <t>DN80-50M</t>
        </is>
      </c>
      <c r="D18" s="15" t="n">
        <v>1100000</v>
      </c>
      <c r="E18" s="15" t="n">
        <v>708333</v>
      </c>
    </row>
    <row r="19" ht="18" customHeight="1" s="1">
      <c r="A19" s="8" t="inlineStr">
        <is>
          <t>Ống Bạt DN100-50m</t>
        </is>
      </c>
      <c r="B19" s="14" t="n">
        <v>17</v>
      </c>
      <c r="C19" s="8" t="inlineStr">
        <is>
          <t>DN100-50M</t>
        </is>
      </c>
      <c r="D19" s="12" t="n">
        <v>1500000</v>
      </c>
      <c r="E19" s="12" t="n">
        <v>1062500</v>
      </c>
    </row>
    <row r="20" ht="18" customHeight="1" s="1">
      <c r="A20" s="14" t="inlineStr">
        <is>
          <t>Ống Bạt DN150-50m</t>
        </is>
      </c>
      <c r="B20" s="8" t="n">
        <v>18</v>
      </c>
      <c r="C20" s="14" t="inlineStr">
        <is>
          <t>DN150-50M</t>
        </is>
      </c>
      <c r="D20" s="15" t="n">
        <v>2300000</v>
      </c>
      <c r="E20" s="15" t="n">
        <v>1771000</v>
      </c>
    </row>
    <row r="21" ht="18" customHeight="1" s="1">
      <c r="A21" s="8" t="inlineStr">
        <is>
          <t>Ống Bạt DN200-50m</t>
        </is>
      </c>
      <c r="B21" s="8" t="n">
        <v>19</v>
      </c>
      <c r="C21" s="8" t="inlineStr">
        <is>
          <t>DN200-50M</t>
        </is>
      </c>
      <c r="D21" s="12" t="n">
        <v>4000000</v>
      </c>
      <c r="E21" s="12" t="n">
        <v>3300000</v>
      </c>
    </row>
    <row r="22" ht="18" customHeight="1" s="1">
      <c r="A22" s="14" t="inlineStr">
        <is>
          <t>Ống Bạt DN50-17M</t>
        </is>
      </c>
      <c r="B22" s="14" t="n">
        <v>20</v>
      </c>
      <c r="C22" s="14" t="inlineStr">
        <is>
          <t>DN50-17M</t>
        </is>
      </c>
      <c r="D22" s="15" t="n">
        <v>250000</v>
      </c>
      <c r="E22" s="15" t="n">
        <v>153000</v>
      </c>
    </row>
    <row r="23" ht="18" customHeight="1" s="1">
      <c r="A23" s="8" t="inlineStr">
        <is>
          <t>Ống Bạt DN65-17M</t>
        </is>
      </c>
      <c r="B23" s="8" t="n">
        <v>21</v>
      </c>
      <c r="C23" s="8" t="inlineStr">
        <is>
          <t>DN65-17M</t>
        </is>
      </c>
      <c r="D23" s="12" t="n">
        <v>300000</v>
      </c>
      <c r="E23" s="8" t="n"/>
    </row>
    <row r="24" ht="18" customHeight="1" s="1">
      <c r="A24" s="14" t="inlineStr">
        <is>
          <t>Ống Bạt DN80-17M</t>
        </is>
      </c>
      <c r="B24" s="8" t="n">
        <v>22</v>
      </c>
      <c r="C24" s="14" t="inlineStr">
        <is>
          <t>DN80-17M</t>
        </is>
      </c>
      <c r="D24" s="15" t="n">
        <v>400000</v>
      </c>
      <c r="E24" s="15" t="n">
        <v>245000</v>
      </c>
    </row>
    <row r="25" ht="18" customHeight="1" s="1">
      <c r="A25" s="8" t="inlineStr">
        <is>
          <t>Ống Bạt DN100-17M</t>
        </is>
      </c>
      <c r="B25" s="14" t="n">
        <v>23</v>
      </c>
      <c r="C25" s="8" t="inlineStr">
        <is>
          <t>DN100-17M</t>
        </is>
      </c>
      <c r="D25" s="12" t="n">
        <v>550000</v>
      </c>
      <c r="E25" s="12" t="n">
        <v>340000</v>
      </c>
    </row>
    <row r="26" ht="18" customHeight="1" s="1">
      <c r="A26" s="14" t="inlineStr">
        <is>
          <t>Ống Bạt DN150-17M</t>
        </is>
      </c>
      <c r="B26" s="8" t="n">
        <v>24</v>
      </c>
      <c r="C26" s="14" t="inlineStr">
        <is>
          <t>DN150-17M</t>
        </is>
      </c>
      <c r="D26" s="15" t="n">
        <v>800000</v>
      </c>
      <c r="E26" s="15" t="n">
        <v>580000</v>
      </c>
    </row>
    <row r="27">
      <c r="A27" s="8" t="inlineStr">
        <is>
          <t>Ống Bạt DN200-17M</t>
        </is>
      </c>
      <c r="B27" s="8" t="n">
        <v>25</v>
      </c>
      <c r="C27" s="8" t="inlineStr">
        <is>
          <t>DN200-17M</t>
        </is>
      </c>
      <c r="D27" s="12" t="n">
        <v>1800000</v>
      </c>
      <c r="E27" s="12" t="n">
        <v>1250000</v>
      </c>
    </row>
  </sheetData>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295"/>
  <sheetViews>
    <sheetView workbookViewId="0">
      <pane ySplit="1" topLeftCell="A2" activePane="bottomLeft" state="frozen"/>
      <selection pane="bottomLeft" activeCell="A1" sqref="A1"/>
    </sheetView>
  </sheetViews>
  <sheetFormatPr baseColWidth="8" defaultRowHeight="15"/>
  <cols>
    <col width="16" customWidth="1" style="1" min="1" max="1"/>
    <col width="7" customWidth="1" style="1" min="2" max="2"/>
    <col width="26" customWidth="1" style="1" min="3" max="3"/>
    <col width="30" customWidth="1" style="1" min="4" max="4"/>
    <col width="16" customWidth="1" style="1" min="5" max="5"/>
    <col width="16" customWidth="1" style="1" min="6" max="6"/>
    <col width="55" customWidth="1" style="1" min="7" max="7"/>
  </cols>
  <sheetData>
    <row r="1">
      <c r="A1" s="54" t="inlineStr">
        <is>
          <t>Trang tính</t>
        </is>
      </c>
      <c r="B1" s="54" t="inlineStr">
        <is>
          <t>Dòng</t>
        </is>
      </c>
      <c r="C1" s="54" t="inlineStr">
        <is>
          <t>Model</t>
        </is>
      </c>
      <c r="D1" s="54" t="inlineStr">
        <is>
          <t>Cột</t>
        </is>
      </c>
      <c r="E1" s="54" t="inlineStr">
        <is>
          <t>Giá trị cũ</t>
        </is>
      </c>
      <c r="F1" s="54" t="inlineStr">
        <is>
          <t>Giá trị mới</t>
        </is>
      </c>
      <c r="G1" s="54" t="inlineStr">
        <is>
          <t>Nguồn</t>
        </is>
      </c>
    </row>
    <row r="2">
      <c r="A2" s="55" t="inlineStr">
        <is>
          <t>Giếng nhựa</t>
        </is>
      </c>
      <c r="B2" s="55" t="n">
        <v>1</v>
      </c>
      <c r="C2" s="55" t="inlineStr">
        <is>
          <t>(tiêu đề cột)</t>
        </is>
      </c>
      <c r="D2" s="55" t="inlineStr">
        <is>
          <t>E</t>
        </is>
      </c>
      <c r="E2" s="55" t="inlineStr">
        <is>
          <t>Lưu lượng</t>
        </is>
      </c>
      <c r="F2" s="55" t="inlineStr">
        <is>
          <t>Lưu lượng max (m3/h)</t>
        </is>
      </c>
      <c r="G2" s="55" t="inlineStr">
        <is>
          <t>Ghi rõ nghĩa cột theo catalogue</t>
        </is>
      </c>
    </row>
    <row r="3">
      <c r="A3" s="55" t="inlineStr">
        <is>
          <t>Giếng nhựa</t>
        </is>
      </c>
      <c r="B3" s="55" t="n">
        <v>1</v>
      </c>
      <c r="C3" s="55" t="inlineStr">
        <is>
          <t>(tiêu đề cột)</t>
        </is>
      </c>
      <c r="D3" s="55" t="inlineStr">
        <is>
          <t>F</t>
        </is>
      </c>
      <c r="E3" s="55" t="inlineStr">
        <is>
          <t>Cột áp</t>
        </is>
      </c>
      <c r="F3" s="55" t="inlineStr">
        <is>
          <t>Cột áp max (m)</t>
        </is>
      </c>
      <c r="G3" s="55" t="inlineStr">
        <is>
          <t>Ghi rõ nghĩa cột theo catalogue</t>
        </is>
      </c>
    </row>
    <row r="4">
      <c r="A4" s="55" t="inlineStr">
        <is>
          <t>Giếng nhựa</t>
        </is>
      </c>
      <c r="B4" s="55" t="n">
        <v>2</v>
      </c>
      <c r="C4" s="55" t="inlineStr">
        <is>
          <t>2SSm0.7/32-0.25</t>
        </is>
      </c>
      <c r="D4" s="55" t="inlineStr">
        <is>
          <t>E Lưu lượng max (m3/h)</t>
        </is>
      </c>
      <c r="E4" s="55" t="n">
        <v>1</v>
      </c>
      <c r="F4" s="55" t="n">
        <v>0.96</v>
      </c>
      <c r="G4" s="55" t="inlineStr">
        <is>
          <t>PEROTAC - Bơm giếng SA.pdf, tr.2</t>
        </is>
      </c>
    </row>
    <row r="5">
      <c r="A5" s="55" t="inlineStr">
        <is>
          <t>Giếng nhựa</t>
        </is>
      </c>
      <c r="B5" s="55" t="n">
        <v>3</v>
      </c>
      <c r="C5" s="55" t="inlineStr">
        <is>
          <t>2SSm0.7/38-0.37</t>
        </is>
      </c>
      <c r="D5" s="55" t="inlineStr">
        <is>
          <t>E Lưu lượng max (m3/h)</t>
        </is>
      </c>
      <c r="E5" s="55" t="n">
        <v>1</v>
      </c>
      <c r="F5" s="55" t="n">
        <v>0.96</v>
      </c>
      <c r="G5" s="55" t="inlineStr">
        <is>
          <t>PEROTAC - Bơm giếng SA.pdf, tr.2</t>
        </is>
      </c>
    </row>
    <row r="6">
      <c r="A6" s="55" t="inlineStr">
        <is>
          <t>Giếng nhựa</t>
        </is>
      </c>
      <c r="B6" s="55" t="n">
        <v>4</v>
      </c>
      <c r="C6" s="55" t="inlineStr">
        <is>
          <t>2.5SSm1.5/17-0.37</t>
        </is>
      </c>
      <c r="D6" s="55" t="inlineStr">
        <is>
          <t>F Cột áp max (m)</t>
        </is>
      </c>
      <c r="E6" s="55" t="n">
        <v>48</v>
      </c>
      <c r="F6" s="55" t="n">
        <v>46</v>
      </c>
      <c r="G6" s="55" t="inlineStr">
        <is>
          <t>PEROTAC - Bơm giếng SA.pdf, tr.3</t>
        </is>
      </c>
    </row>
    <row r="7">
      <c r="A7" s="55" t="inlineStr">
        <is>
          <t>Giếng nhựa</t>
        </is>
      </c>
      <c r="B7" s="55" t="n">
        <v>14</v>
      </c>
      <c r="C7" s="55" t="inlineStr">
        <is>
          <t>4SA4/12</t>
        </is>
      </c>
      <c r="D7" s="55" t="inlineStr">
        <is>
          <t>C CÔNG SUẤT (KW)</t>
        </is>
      </c>
      <c r="E7" s="55" t="n">
        <v>1.1</v>
      </c>
      <c r="F7" s="55" t="n">
        <v>0.92</v>
      </c>
      <c r="G7" s="55" t="inlineStr">
        <is>
          <t>PEROTAC - Bơm giếng SA.pdf, tr.9</t>
        </is>
      </c>
    </row>
    <row r="8">
      <c r="A8" s="55" t="inlineStr">
        <is>
          <t>Giếng nhựa</t>
        </is>
      </c>
      <c r="B8" s="55" t="n">
        <v>34</v>
      </c>
      <c r="C8" s="55" t="inlineStr">
        <is>
          <t>4SA10/9</t>
        </is>
      </c>
      <c r="D8" s="55" t="inlineStr">
        <is>
          <t>E Lưu lượng max (m3/h)</t>
        </is>
      </c>
      <c r="E8" s="55" t="n">
        <v>13.8</v>
      </c>
      <c r="F8" s="55" t="n">
        <v>14.4</v>
      </c>
      <c r="G8" s="55" t="inlineStr">
        <is>
          <t>AQUARIS - Bơm giếng SA.pdf, tr.7</t>
        </is>
      </c>
    </row>
    <row r="9">
      <c r="A9" s="55" t="inlineStr">
        <is>
          <t>Giếng nhựa</t>
        </is>
      </c>
      <c r="B9" s="55" t="n">
        <v>34</v>
      </c>
      <c r="C9" s="55" t="inlineStr">
        <is>
          <t>4SA10/9</t>
        </is>
      </c>
      <c r="D9" s="55" t="inlineStr">
        <is>
          <t>F Cột áp max (m)</t>
        </is>
      </c>
      <c r="E9" s="55" t="n">
        <v>61</v>
      </c>
      <c r="F9" s="55" t="n">
        <v>55</v>
      </c>
      <c r="G9" s="55" t="inlineStr">
        <is>
          <t>AQUARIS - Bơm giếng SA.pdf, tr.7</t>
        </is>
      </c>
    </row>
    <row r="10">
      <c r="A10" s="55" t="inlineStr">
        <is>
          <t>Giếng inox</t>
        </is>
      </c>
      <c r="B10" s="55" t="n">
        <v>2</v>
      </c>
      <c r="C10" s="55" t="inlineStr">
        <is>
          <t>4SP5-08</t>
        </is>
      </c>
      <c r="D10" s="55" t="inlineStr">
        <is>
          <t>E Lưu lượng (m3/h)</t>
        </is>
      </c>
      <c r="E10" s="55" t="n">
        <v>6</v>
      </c>
      <c r="F10" s="55" t="n">
        <v>6.6</v>
      </c>
      <c r="G10" s="55" t="inlineStr">
        <is>
          <t>PEROTAC - Bơm giếng SP.pdf, tr.2</t>
        </is>
      </c>
    </row>
    <row r="11">
      <c r="A11" s="55" t="inlineStr">
        <is>
          <t>Giếng inox</t>
        </is>
      </c>
      <c r="B11" s="55" t="n">
        <v>2</v>
      </c>
      <c r="C11" s="55" t="inlineStr">
        <is>
          <t>4SP5-08</t>
        </is>
      </c>
      <c r="D11" s="55" t="inlineStr">
        <is>
          <t>F Cột áp (m)</t>
        </is>
      </c>
      <c r="E11" s="55" t="n">
        <v>50</v>
      </c>
      <c r="F11" s="55" t="n">
        <v>49</v>
      </c>
      <c r="G11" s="55" t="inlineStr">
        <is>
          <t>PEROTAC - Bơm giếng SP.pdf, tr.2</t>
        </is>
      </c>
    </row>
    <row r="12">
      <c r="A12" s="55" t="inlineStr">
        <is>
          <t>Giếng inox</t>
        </is>
      </c>
      <c r="B12" s="55" t="n">
        <v>3</v>
      </c>
      <c r="C12" s="55" t="inlineStr">
        <is>
          <t>4SP5-12</t>
        </is>
      </c>
      <c r="D12" s="55" t="inlineStr">
        <is>
          <t>E Lưu lượng (m3/h)</t>
        </is>
      </c>
      <c r="E12" s="55" t="n">
        <v>6</v>
      </c>
      <c r="F12" s="55" t="n">
        <v>6.6</v>
      </c>
      <c r="G12" s="55" t="inlineStr">
        <is>
          <t>PEROTAC - Bơm giếng SP.pdf, tr.2</t>
        </is>
      </c>
    </row>
    <row r="13">
      <c r="A13" s="55" t="inlineStr">
        <is>
          <t>Giếng inox</t>
        </is>
      </c>
      <c r="B13" s="55" t="n">
        <v>3</v>
      </c>
      <c r="C13" s="55" t="inlineStr">
        <is>
          <t>4SP5-12</t>
        </is>
      </c>
      <c r="D13" s="55" t="inlineStr">
        <is>
          <t>F Cột áp (m)</t>
        </is>
      </c>
      <c r="E13" s="55" t="n">
        <v>76</v>
      </c>
      <c r="F13" s="55" t="n">
        <v>74</v>
      </c>
      <c r="G13" s="55" t="inlineStr">
        <is>
          <t>PEROTAC - Bơm giếng SP.pdf, tr.2</t>
        </is>
      </c>
    </row>
    <row r="14">
      <c r="A14" s="55" t="inlineStr">
        <is>
          <t>Giếng inox</t>
        </is>
      </c>
      <c r="B14" s="55" t="n">
        <v>9</v>
      </c>
      <c r="C14" s="55" t="inlineStr">
        <is>
          <t>4SP8-18</t>
        </is>
      </c>
      <c r="D14" s="55" t="inlineStr">
        <is>
          <t>C CÔNG SUẤT (KW)</t>
        </is>
      </c>
      <c r="E14" s="55" t="n">
        <v>3</v>
      </c>
      <c r="F14" s="55" t="n">
        <v>2.6</v>
      </c>
      <c r="G14" s="55" t="inlineStr">
        <is>
          <t>PEROTAC - Bơm giếng SP.pdf, tr.2</t>
        </is>
      </c>
    </row>
    <row r="15">
      <c r="A15" s="55" t="inlineStr">
        <is>
          <t>Giếng inox</t>
        </is>
      </c>
      <c r="B15" s="55" t="n">
        <v>9</v>
      </c>
      <c r="C15" s="55" t="inlineStr">
        <is>
          <t>4SP8-18</t>
        </is>
      </c>
      <c r="D15" s="55" t="inlineStr">
        <is>
          <t>E Lưu lượng (m3/h)</t>
        </is>
      </c>
      <c r="E15" s="55" t="n">
        <v>10</v>
      </c>
      <c r="F15" s="55" t="n">
        <v>10.8</v>
      </c>
      <c r="G15" s="55" t="inlineStr">
        <is>
          <t>PEROTAC - Bơm giếng SP.pdf, tr.2</t>
        </is>
      </c>
    </row>
    <row r="16">
      <c r="A16" s="55" t="inlineStr">
        <is>
          <t>Giếng inox</t>
        </is>
      </c>
      <c r="B16" s="55" t="n">
        <v>9</v>
      </c>
      <c r="C16" s="55" t="inlineStr">
        <is>
          <t>4SP8-18</t>
        </is>
      </c>
      <c r="D16" s="55" t="inlineStr">
        <is>
          <t>F Cột áp (m)</t>
        </is>
      </c>
      <c r="E16" s="55" t="n">
        <v>114</v>
      </c>
      <c r="F16" s="55" t="n">
        <v>107</v>
      </c>
      <c r="G16" s="55" t="inlineStr">
        <is>
          <t>PEROTAC - Bơm giếng SP.pdf, tr.2</t>
        </is>
      </c>
    </row>
    <row r="17">
      <c r="A17" s="55" t="inlineStr">
        <is>
          <t>Giếng inox</t>
        </is>
      </c>
      <c r="B17" s="55" t="n">
        <v>10</v>
      </c>
      <c r="C17" s="55" t="inlineStr">
        <is>
          <t>4SP14-13</t>
        </is>
      </c>
      <c r="D17" s="55" t="inlineStr">
        <is>
          <t>F Cột áp (m)</t>
        </is>
      </c>
      <c r="E17" s="55" t="n">
        <v>88</v>
      </c>
      <c r="F17" s="55" t="n">
        <v>83</v>
      </c>
      <c r="G17" s="55" t="inlineStr">
        <is>
          <t>PEROTAC - Bơm giếng SP.pdf, tr.3</t>
        </is>
      </c>
    </row>
    <row r="18">
      <c r="A18" s="55" t="inlineStr">
        <is>
          <t>Giếng inox</t>
        </is>
      </c>
      <c r="B18" s="55" t="n">
        <v>11</v>
      </c>
      <c r="C18" s="55" t="inlineStr">
        <is>
          <t>4SP5-44</t>
        </is>
      </c>
      <c r="D18" s="55" t="inlineStr">
        <is>
          <t>E Lưu lượng (m3/h)</t>
        </is>
      </c>
      <c r="E18" s="55" t="n">
        <v>6</v>
      </c>
      <c r="F18" s="55" t="n">
        <v>6.6</v>
      </c>
      <c r="G18" s="55" t="inlineStr">
        <is>
          <t>PEROTAC - Bơm giếng SP.pdf, tr.2</t>
        </is>
      </c>
    </row>
    <row r="19">
      <c r="A19" s="55" t="inlineStr">
        <is>
          <t>Giếng inox</t>
        </is>
      </c>
      <c r="B19" s="55" t="n">
        <v>11</v>
      </c>
      <c r="C19" s="55" t="inlineStr">
        <is>
          <t>4SP5-44</t>
        </is>
      </c>
      <c r="D19" s="55" t="inlineStr">
        <is>
          <t>F Cột áp (m)</t>
        </is>
      </c>
      <c r="E19" s="55" t="n">
        <v>275</v>
      </c>
      <c r="F19" s="55" t="n">
        <v>271</v>
      </c>
      <c r="G19" s="55" t="inlineStr">
        <is>
          <t>PEROTAC - Bơm giếng SP.pdf, tr.2</t>
        </is>
      </c>
    </row>
    <row r="20">
      <c r="A20" s="55" t="inlineStr">
        <is>
          <t>Giếng inox</t>
        </is>
      </c>
      <c r="B20" s="55" t="n">
        <v>12</v>
      </c>
      <c r="C20" s="55" t="inlineStr">
        <is>
          <t>4SP8-21</t>
        </is>
      </c>
      <c r="D20" s="55" t="inlineStr">
        <is>
          <t>C CÔNG SUẤT (KW)</t>
        </is>
      </c>
      <c r="E20" s="55" t="n">
        <v>4</v>
      </c>
      <c r="F20" s="55" t="n">
        <v>3</v>
      </c>
      <c r="G20" s="55" t="inlineStr">
        <is>
          <t>PEROTAC - Bơm giếng SP.pdf, tr.2</t>
        </is>
      </c>
    </row>
    <row r="21">
      <c r="A21" s="55" t="inlineStr">
        <is>
          <t>Giếng inox</t>
        </is>
      </c>
      <c r="B21" s="55" t="n">
        <v>12</v>
      </c>
      <c r="C21" s="55" t="inlineStr">
        <is>
          <t>4SP8-21</t>
        </is>
      </c>
      <c r="D21" s="55" t="inlineStr">
        <is>
          <t>E Lưu lượng (m3/h)</t>
        </is>
      </c>
      <c r="E21" s="55" t="n">
        <v>10</v>
      </c>
      <c r="F21" s="55" t="n">
        <v>10.8</v>
      </c>
      <c r="G21" s="55" t="inlineStr">
        <is>
          <t>PEROTAC - Bơm giếng SP.pdf, tr.2</t>
        </is>
      </c>
    </row>
    <row r="22">
      <c r="A22" s="55" t="inlineStr">
        <is>
          <t>Giếng inox</t>
        </is>
      </c>
      <c r="B22" s="55" t="n">
        <v>12</v>
      </c>
      <c r="C22" s="55" t="inlineStr">
        <is>
          <t>4SP8-21</t>
        </is>
      </c>
      <c r="D22" s="55" t="inlineStr">
        <is>
          <t>F Cột áp (m)</t>
        </is>
      </c>
      <c r="E22" s="55" t="n">
        <v>133</v>
      </c>
      <c r="F22" s="55" t="n">
        <v>125</v>
      </c>
      <c r="G22" s="55" t="inlineStr">
        <is>
          <t>PEROTAC - Bơm giếng SP.pdf, tr.2</t>
        </is>
      </c>
    </row>
    <row r="23">
      <c r="A23" s="55" t="inlineStr">
        <is>
          <t>Giếng inox</t>
        </is>
      </c>
      <c r="B23" s="55" t="n">
        <v>14</v>
      </c>
      <c r="C23" s="55" t="inlineStr">
        <is>
          <t>4SP14-18</t>
        </is>
      </c>
      <c r="D23" s="55" t="inlineStr">
        <is>
          <t>F Cột áp (m)</t>
        </is>
      </c>
      <c r="E23" s="55" t="n">
        <v>122</v>
      </c>
      <c r="F23" s="55" t="n">
        <v>115</v>
      </c>
      <c r="G23" s="55" t="inlineStr">
        <is>
          <t>PEROTAC - Bơm giếng SP.pdf, tr.3</t>
        </is>
      </c>
    </row>
    <row r="24">
      <c r="A24" s="55" t="inlineStr">
        <is>
          <t>Giếng inox</t>
        </is>
      </c>
      <c r="B24" s="55" t="n">
        <v>15</v>
      </c>
      <c r="C24" s="55" t="inlineStr">
        <is>
          <t>4SP5-52</t>
        </is>
      </c>
      <c r="D24" s="55" t="inlineStr">
        <is>
          <t>E Lưu lượng (m3/h)</t>
        </is>
      </c>
      <c r="E24" s="55" t="n">
        <v>6</v>
      </c>
      <c r="F24" s="55" t="n">
        <v>6.6</v>
      </c>
      <c r="G24" s="55" t="inlineStr">
        <is>
          <t>PEROTAC - Bơm giếng SP.pdf, tr.2</t>
        </is>
      </c>
    </row>
    <row r="25">
      <c r="A25" s="55" t="inlineStr">
        <is>
          <t>Giếng inox</t>
        </is>
      </c>
      <c r="B25" s="55" t="n">
        <v>15</v>
      </c>
      <c r="C25" s="55" t="inlineStr">
        <is>
          <t>4SP5-52</t>
        </is>
      </c>
      <c r="D25" s="55" t="inlineStr">
        <is>
          <t>F Cột áp (m)</t>
        </is>
      </c>
      <c r="E25" s="55" t="n">
        <v>326</v>
      </c>
      <c r="F25" s="55" t="n">
        <v>320</v>
      </c>
      <c r="G25" s="55" t="inlineStr">
        <is>
          <t>PEROTAC - Bơm giếng SP.pdf, tr.2</t>
        </is>
      </c>
    </row>
    <row r="26">
      <c r="A26" s="55" t="inlineStr">
        <is>
          <t>Giếng inox</t>
        </is>
      </c>
      <c r="B26" s="55" t="n">
        <v>19</v>
      </c>
      <c r="C26" s="55" t="inlineStr">
        <is>
          <t>6SP30-5</t>
        </is>
      </c>
      <c r="D26" s="55" t="inlineStr">
        <is>
          <t>E Lưu lượng (m3/h)</t>
        </is>
      </c>
      <c r="E26" s="55" t="n">
        <v>40</v>
      </c>
      <c r="F26" s="55" t="n">
        <v>42</v>
      </c>
      <c r="G26" s="55" t="inlineStr">
        <is>
          <t>PEROTAC - Bơm giếng SP.pdf, tr.6</t>
        </is>
      </c>
    </row>
    <row r="27">
      <c r="A27" s="55" t="inlineStr">
        <is>
          <t>Giếng inox</t>
        </is>
      </c>
      <c r="B27" s="55" t="n">
        <v>19</v>
      </c>
      <c r="C27" s="55" t="inlineStr">
        <is>
          <t>6SP30-5</t>
        </is>
      </c>
      <c r="D27" s="55" t="inlineStr">
        <is>
          <t>F Cột áp (m)</t>
        </is>
      </c>
      <c r="E27" s="55" t="n">
        <v>66</v>
      </c>
      <c r="F27" s="55" t="n">
        <v>57</v>
      </c>
      <c r="G27" s="55" t="inlineStr">
        <is>
          <t>PEROTAC - Bơm giếng SP.pdf, tr.6</t>
        </is>
      </c>
    </row>
    <row r="28">
      <c r="A28" s="55" t="inlineStr">
        <is>
          <t>Giếng inox</t>
        </is>
      </c>
      <c r="B28" s="55" t="n">
        <v>20</v>
      </c>
      <c r="C28" s="55" t="inlineStr">
        <is>
          <t>6SP30-7</t>
        </is>
      </c>
      <c r="D28" s="55" t="inlineStr">
        <is>
          <t>E Lưu lượng (m3/h)</t>
        </is>
      </c>
      <c r="E28" s="55" t="n">
        <v>40</v>
      </c>
      <c r="F28" s="55" t="n">
        <v>42</v>
      </c>
      <c r="G28" s="55" t="inlineStr">
        <is>
          <t>PEROTAC - Bơm giếng SP.pdf, tr.6</t>
        </is>
      </c>
    </row>
    <row r="29">
      <c r="A29" s="55" t="inlineStr">
        <is>
          <t>Giếng inox</t>
        </is>
      </c>
      <c r="B29" s="55" t="n">
        <v>20</v>
      </c>
      <c r="C29" s="55" t="inlineStr">
        <is>
          <t>6SP30-7</t>
        </is>
      </c>
      <c r="D29" s="55" t="inlineStr">
        <is>
          <t>F Cột áp (m)</t>
        </is>
      </c>
      <c r="E29" s="55" t="n">
        <v>92</v>
      </c>
      <c r="F29" s="55" t="n">
        <v>80</v>
      </c>
      <c r="G29" s="55" t="inlineStr">
        <is>
          <t>PEROTAC - Bơm giếng SP.pdf, tr.6</t>
        </is>
      </c>
    </row>
    <row r="30">
      <c r="A30" s="55" t="inlineStr">
        <is>
          <t>Giếng inox</t>
        </is>
      </c>
      <c r="B30" s="55" t="n">
        <v>21</v>
      </c>
      <c r="C30" s="55" t="inlineStr">
        <is>
          <t>6SP46-05</t>
        </is>
      </c>
      <c r="D30" s="55" t="inlineStr">
        <is>
          <t>E Lưu lượng (m3/h)</t>
        </is>
      </c>
      <c r="E30" s="55" t="n">
        <v>55</v>
      </c>
      <c r="F30" s="55" t="n">
        <v>66</v>
      </c>
      <c r="G30" s="55" t="inlineStr">
        <is>
          <t>PEROTAC - Bơm giếng SP.pdf, tr.7</t>
        </is>
      </c>
    </row>
    <row r="31">
      <c r="A31" s="55" t="inlineStr">
        <is>
          <t>Giếng inox</t>
        </is>
      </c>
      <c r="B31" s="55" t="n">
        <v>21</v>
      </c>
      <c r="C31" s="55" t="inlineStr">
        <is>
          <t>6SP46-05</t>
        </is>
      </c>
      <c r="D31" s="55" t="inlineStr">
        <is>
          <t>F Cột áp (m)</t>
        </is>
      </c>
      <c r="E31" s="55" t="n">
        <v>66</v>
      </c>
      <c r="F31" s="55" t="n">
        <v>67</v>
      </c>
      <c r="G31" s="55" t="inlineStr">
        <is>
          <t>PEROTAC - Bơm giếng SP.pdf, tr.7</t>
        </is>
      </c>
    </row>
    <row r="32">
      <c r="A32" s="55" t="inlineStr">
        <is>
          <t>Giếng inox</t>
        </is>
      </c>
      <c r="B32" s="55" t="n">
        <v>22</v>
      </c>
      <c r="C32" s="55" t="inlineStr">
        <is>
          <t>6SP60-04</t>
        </is>
      </c>
      <c r="D32" s="55" t="inlineStr">
        <is>
          <t>E Lưu lượng (m3/h)</t>
        </is>
      </c>
      <c r="E32" s="55" t="n">
        <v>65</v>
      </c>
      <c r="F32" s="55" t="n">
        <v>78</v>
      </c>
      <c r="G32" s="55" t="inlineStr">
        <is>
          <t>PEROTAC - Bơm giếng SP.pdf, tr.8</t>
        </is>
      </c>
    </row>
    <row r="33">
      <c r="A33" s="55" t="inlineStr">
        <is>
          <t>Giếng inox</t>
        </is>
      </c>
      <c r="B33" s="55" t="n">
        <v>24</v>
      </c>
      <c r="C33" s="55" t="inlineStr">
        <is>
          <t>6SP46-06</t>
        </is>
      </c>
      <c r="D33" s="55" t="inlineStr">
        <is>
          <t>E Lưu lượng (m3/h)</t>
        </is>
      </c>
      <c r="E33" s="55" t="n">
        <v>55</v>
      </c>
      <c r="F33" s="55" t="n">
        <v>66</v>
      </c>
      <c r="G33" s="55" t="inlineStr">
        <is>
          <t>PEROTAC - Bơm giếng SP.pdf, tr.7</t>
        </is>
      </c>
    </row>
    <row r="34">
      <c r="A34" s="55" t="inlineStr">
        <is>
          <t>Giếng inox</t>
        </is>
      </c>
      <c r="B34" s="55" t="n">
        <v>24</v>
      </c>
      <c r="C34" s="55" t="inlineStr">
        <is>
          <t>6SP46-06</t>
        </is>
      </c>
      <c r="D34" s="55" t="inlineStr">
        <is>
          <t>F Cột áp (m)</t>
        </is>
      </c>
      <c r="E34" s="55" t="n">
        <v>79</v>
      </c>
      <c r="F34" s="55" t="n">
        <v>80</v>
      </c>
      <c r="G34" s="55" t="inlineStr">
        <is>
          <t>PEROTAC - Bơm giếng SP.pdf, tr.7</t>
        </is>
      </c>
    </row>
    <row r="35">
      <c r="A35" s="55" t="inlineStr">
        <is>
          <t>Giếng inox</t>
        </is>
      </c>
      <c r="B35" s="55" t="n">
        <v>25</v>
      </c>
      <c r="C35" s="55" t="inlineStr">
        <is>
          <t>6SP60-05</t>
        </is>
      </c>
      <c r="D35" s="55" t="inlineStr">
        <is>
          <t>E Lưu lượng (m3/h)</t>
        </is>
      </c>
      <c r="E35" s="55" t="n">
        <v>65</v>
      </c>
      <c r="F35" s="55" t="n">
        <v>78</v>
      </c>
      <c r="G35" s="55" t="inlineStr">
        <is>
          <t>PEROTAC - Bơm giếng SP.pdf, tr.8</t>
        </is>
      </c>
    </row>
    <row r="36">
      <c r="A36" s="55" t="inlineStr">
        <is>
          <t>Giếng inox</t>
        </is>
      </c>
      <c r="B36" s="55" t="n">
        <v>27</v>
      </c>
      <c r="C36" s="55" t="inlineStr">
        <is>
          <t>6SP46-07</t>
        </is>
      </c>
      <c r="D36" s="55" t="inlineStr">
        <is>
          <t>E Lưu lượng (m3/h)</t>
        </is>
      </c>
      <c r="E36" s="55" t="n">
        <v>55</v>
      </c>
      <c r="F36" s="55" t="n">
        <v>66</v>
      </c>
      <c r="G36" s="55" t="inlineStr">
        <is>
          <t>PEROTAC - Bơm giếng SP.pdf, tr.7</t>
        </is>
      </c>
    </row>
    <row r="37">
      <c r="A37" s="55" t="inlineStr">
        <is>
          <t>Giếng inox</t>
        </is>
      </c>
      <c r="B37" s="55" t="n">
        <v>27</v>
      </c>
      <c r="C37" s="55" t="inlineStr">
        <is>
          <t>6SP46-07</t>
        </is>
      </c>
      <c r="D37" s="55" t="inlineStr">
        <is>
          <t>F Cột áp (m)</t>
        </is>
      </c>
      <c r="E37" s="55" t="n">
        <v>92</v>
      </c>
      <c r="F37" s="55" t="n">
        <v>94</v>
      </c>
      <c r="G37" s="55" t="inlineStr">
        <is>
          <t>PEROTAC - Bơm giếng SP.pdf, tr.7</t>
        </is>
      </c>
    </row>
    <row r="38">
      <c r="A38" s="55" t="inlineStr">
        <is>
          <t>Giếng inox</t>
        </is>
      </c>
      <c r="B38" s="55" t="n">
        <v>28</v>
      </c>
      <c r="C38" s="55" t="inlineStr">
        <is>
          <t>6SP60-06</t>
        </is>
      </c>
      <c r="D38" s="55" t="inlineStr">
        <is>
          <t>E Lưu lượng (m3/h)</t>
        </is>
      </c>
      <c r="E38" s="55" t="n">
        <v>65</v>
      </c>
      <c r="F38" s="55" t="n">
        <v>78</v>
      </c>
      <c r="G38" s="55" t="inlineStr">
        <is>
          <t>PEROTAC - Bơm giếng SP.pdf, tr.8</t>
        </is>
      </c>
    </row>
    <row r="39">
      <c r="A39" s="55" t="inlineStr">
        <is>
          <t>Giếng inox</t>
        </is>
      </c>
      <c r="B39" s="55" t="n">
        <v>30</v>
      </c>
      <c r="C39" s="55" t="inlineStr">
        <is>
          <t>6SP46-10</t>
        </is>
      </c>
      <c r="D39" s="55" t="inlineStr">
        <is>
          <t>E Lưu lượng (m3/h)</t>
        </is>
      </c>
      <c r="E39" s="55" t="n">
        <v>55</v>
      </c>
      <c r="F39" s="55" t="n">
        <v>66</v>
      </c>
      <c r="G39" s="55" t="inlineStr">
        <is>
          <t>PEROTAC - Bơm giếng SP.pdf, tr.7</t>
        </is>
      </c>
    </row>
    <row r="40">
      <c r="A40" s="55" t="inlineStr">
        <is>
          <t>Giếng inox</t>
        </is>
      </c>
      <c r="B40" s="55" t="n">
        <v>30</v>
      </c>
      <c r="C40" s="55" t="inlineStr">
        <is>
          <t>6SP46-10</t>
        </is>
      </c>
      <c r="D40" s="55" t="inlineStr">
        <is>
          <t>F Cột áp (m)</t>
        </is>
      </c>
      <c r="E40" s="55" t="n">
        <v>132</v>
      </c>
      <c r="F40" s="55" t="n">
        <v>134</v>
      </c>
      <c r="G40" s="55" t="inlineStr">
        <is>
          <t>PEROTAC - Bơm giếng SP.pdf, tr.7</t>
        </is>
      </c>
    </row>
    <row r="41">
      <c r="A41" s="55" t="inlineStr">
        <is>
          <t>Giếng inox</t>
        </is>
      </c>
      <c r="B41" s="55" t="n">
        <v>31</v>
      </c>
      <c r="C41" s="55" t="inlineStr">
        <is>
          <t>6SP60-08</t>
        </is>
      </c>
      <c r="D41" s="55" t="inlineStr">
        <is>
          <t>E Lưu lượng (m3/h)</t>
        </is>
      </c>
      <c r="E41" s="55" t="n">
        <v>65</v>
      </c>
      <c r="F41" s="55" t="n">
        <v>78</v>
      </c>
      <c r="G41" s="55" t="inlineStr">
        <is>
          <t>PEROTAC - Bơm giếng SP.pdf, tr.8</t>
        </is>
      </c>
    </row>
    <row r="42">
      <c r="A42" s="55" t="inlineStr">
        <is>
          <t>Giếng inox</t>
        </is>
      </c>
      <c r="B42" s="55" t="n">
        <v>33</v>
      </c>
      <c r="C42" s="55" t="inlineStr">
        <is>
          <t>6SP46-12</t>
        </is>
      </c>
      <c r="D42" s="55" t="inlineStr">
        <is>
          <t>E Lưu lượng (m3/h)</t>
        </is>
      </c>
      <c r="E42" s="55" t="n">
        <v>55</v>
      </c>
      <c r="F42" s="55" t="n">
        <v>66</v>
      </c>
      <c r="G42" s="55" t="inlineStr">
        <is>
          <t>PEROTAC - Bơm giếng SP.pdf, tr.7</t>
        </is>
      </c>
    </row>
    <row r="43">
      <c r="A43" s="55" t="inlineStr">
        <is>
          <t>Giếng inox</t>
        </is>
      </c>
      <c r="B43" s="55" t="n">
        <v>33</v>
      </c>
      <c r="C43" s="55" t="inlineStr">
        <is>
          <t>6SP46-12</t>
        </is>
      </c>
      <c r="D43" s="55" t="inlineStr">
        <is>
          <t>F Cột áp (m)</t>
        </is>
      </c>
      <c r="E43" s="55" t="n">
        <v>158</v>
      </c>
      <c r="F43" s="55" t="n">
        <v>161</v>
      </c>
      <c r="G43" s="55" t="inlineStr">
        <is>
          <t>PEROTAC - Bơm giếng SP.pdf, tr.7</t>
        </is>
      </c>
    </row>
    <row r="44">
      <c r="A44" s="55" t="inlineStr">
        <is>
          <t>Giếng inox</t>
        </is>
      </c>
      <c r="B44" s="55" t="n">
        <v>34</v>
      </c>
      <c r="C44" s="55" t="inlineStr">
        <is>
          <t>6SP60-10</t>
        </is>
      </c>
      <c r="D44" s="55" t="inlineStr">
        <is>
          <t>E Lưu lượng (m3/h)</t>
        </is>
      </c>
      <c r="E44" s="55" t="n">
        <v>65</v>
      </c>
      <c r="F44" s="55" t="n">
        <v>78</v>
      </c>
      <c r="G44" s="55" t="inlineStr">
        <is>
          <t>PEROTAC - Bơm giếng SP.pdf, tr.8</t>
        </is>
      </c>
    </row>
    <row r="45">
      <c r="A45" s="55" t="inlineStr">
        <is>
          <t>Giếng inox</t>
        </is>
      </c>
      <c r="B45" s="55" t="n">
        <v>35</v>
      </c>
      <c r="C45" s="55" t="inlineStr">
        <is>
          <t>6SP20-32</t>
        </is>
      </c>
      <c r="D45" s="55" t="inlineStr">
        <is>
          <t>E Lưu lượng (m3/h)</t>
        </is>
      </c>
      <c r="E45" s="55" t="n">
        <v>20</v>
      </c>
      <c r="F45" s="55" t="n">
        <v>30</v>
      </c>
      <c r="G45" s="55" t="inlineStr">
        <is>
          <t>AQUARIS - Bơm giếng SP.pdf, tr.15</t>
        </is>
      </c>
    </row>
    <row r="46">
      <c r="A46" s="55" t="inlineStr">
        <is>
          <t>Giếng inox</t>
        </is>
      </c>
      <c r="B46" s="55" t="n">
        <v>37</v>
      </c>
      <c r="C46" s="55" t="inlineStr">
        <is>
          <t>6SP46-14</t>
        </is>
      </c>
      <c r="D46" s="55" t="inlineStr">
        <is>
          <t>E Lưu lượng (m3/h)</t>
        </is>
      </c>
      <c r="E46" s="55" t="n">
        <v>55</v>
      </c>
      <c r="F46" s="55" t="n">
        <v>66</v>
      </c>
      <c r="G46" s="55" t="inlineStr">
        <is>
          <t>PEROTAC - Bơm giếng SP.pdf, tr.7</t>
        </is>
      </c>
    </row>
    <row r="47">
      <c r="A47" s="55" t="inlineStr">
        <is>
          <t>Giếng inox</t>
        </is>
      </c>
      <c r="B47" s="55" t="n">
        <v>37</v>
      </c>
      <c r="C47" s="55" t="inlineStr">
        <is>
          <t>6SP46-14</t>
        </is>
      </c>
      <c r="D47" s="55" t="inlineStr">
        <is>
          <t>F Cột áp (m)</t>
        </is>
      </c>
      <c r="E47" s="55" t="n">
        <v>185</v>
      </c>
      <c r="F47" s="55" t="n">
        <v>188</v>
      </c>
      <c r="G47" s="55" t="inlineStr">
        <is>
          <t>PEROTAC - Bơm giếng SP.pdf, tr.7</t>
        </is>
      </c>
    </row>
    <row r="48">
      <c r="A48" s="55" t="inlineStr">
        <is>
          <t>Giếng inox</t>
        </is>
      </c>
      <c r="B48" s="55" t="n">
        <v>38</v>
      </c>
      <c r="C48" s="55" t="inlineStr">
        <is>
          <t>6SP60-12</t>
        </is>
      </c>
      <c r="D48" s="55" t="inlineStr">
        <is>
          <t>E Lưu lượng (m3/h)</t>
        </is>
      </c>
      <c r="E48" s="55" t="n">
        <v>65</v>
      </c>
      <c r="F48" s="55" t="n">
        <v>78</v>
      </c>
      <c r="G48" s="55" t="inlineStr">
        <is>
          <t>PEROTAC - Bơm giếng SP.pdf, tr.8</t>
        </is>
      </c>
    </row>
    <row r="49">
      <c r="A49" s="55" t="inlineStr">
        <is>
          <t>Giếng inox</t>
        </is>
      </c>
      <c r="B49" s="55" t="n">
        <v>39</v>
      </c>
      <c r="C49" s="55" t="inlineStr">
        <is>
          <t>6SP46-18</t>
        </is>
      </c>
      <c r="D49" s="55" t="inlineStr">
        <is>
          <t>E Lưu lượng (m3/h)</t>
        </is>
      </c>
      <c r="E49" s="55" t="n">
        <v>55</v>
      </c>
      <c r="F49" s="55" t="n">
        <v>66</v>
      </c>
      <c r="G49" s="55" t="inlineStr">
        <is>
          <t>PEROTAC - Bơm giếng SP.pdf, tr.7</t>
        </is>
      </c>
    </row>
    <row r="50">
      <c r="A50" s="55" t="inlineStr">
        <is>
          <t>Giếng inox</t>
        </is>
      </c>
      <c r="B50" s="55" t="n">
        <v>39</v>
      </c>
      <c r="C50" s="55" t="inlineStr">
        <is>
          <t>6SP46-18</t>
        </is>
      </c>
      <c r="D50" s="55" t="inlineStr">
        <is>
          <t>F Cột áp (m)</t>
        </is>
      </c>
      <c r="E50" s="55" t="n">
        <v>238</v>
      </c>
      <c r="F50" s="55" t="n">
        <v>241</v>
      </c>
      <c r="G50" s="55" t="inlineStr">
        <is>
          <t>PEROTAC - Bơm giếng SP.pdf, tr.7</t>
        </is>
      </c>
    </row>
    <row r="51">
      <c r="A51" s="55" t="inlineStr">
        <is>
          <t>Giếng inox</t>
        </is>
      </c>
      <c r="B51" s="55" t="n">
        <v>40</v>
      </c>
      <c r="C51" s="55" t="inlineStr">
        <is>
          <t>6SP60-16</t>
        </is>
      </c>
      <c r="D51" s="55" t="inlineStr">
        <is>
          <t>E Lưu lượng (m3/h)</t>
        </is>
      </c>
      <c r="E51" s="55" t="n">
        <v>65</v>
      </c>
      <c r="F51" s="55" t="n">
        <v>78</v>
      </c>
      <c r="G51" s="55" t="inlineStr">
        <is>
          <t>PEROTAC - Bơm giếng SP.pdf, tr.8</t>
        </is>
      </c>
    </row>
    <row r="52">
      <c r="A52" s="55" t="inlineStr">
        <is>
          <t>Giếng inox</t>
        </is>
      </c>
      <c r="B52" s="55" t="n">
        <v>41</v>
      </c>
      <c r="C52" s="55" t="inlineStr">
        <is>
          <t>8SP77-04</t>
        </is>
      </c>
      <c r="D52" s="55" t="inlineStr">
        <is>
          <t>E Lưu lượng (m3/h)</t>
        </is>
      </c>
      <c r="E52" s="55" t="n">
        <v>90</v>
      </c>
      <c r="F52" s="55" t="n">
        <v>96</v>
      </c>
      <c r="G52" s="55" t="inlineStr">
        <is>
          <t>PEROTAC - Bơm giếng SP.pdf, tr.10</t>
        </is>
      </c>
    </row>
    <row r="53">
      <c r="A53" s="55" t="inlineStr">
        <is>
          <t>Giếng inox</t>
        </is>
      </c>
      <c r="B53" s="55" t="n">
        <v>41</v>
      </c>
      <c r="C53" s="55" t="inlineStr">
        <is>
          <t>8SP77-04</t>
        </is>
      </c>
      <c r="D53" s="55" t="inlineStr">
        <is>
          <t>F Cột áp (m)</t>
        </is>
      </c>
      <c r="E53" s="55" t="n">
        <v>79</v>
      </c>
      <c r="F53" s="55" t="n">
        <v>80</v>
      </c>
      <c r="G53" s="55" t="inlineStr">
        <is>
          <t>PEROTAC - Bơm giếng SP.pdf, tr.10</t>
        </is>
      </c>
    </row>
    <row r="54">
      <c r="A54" s="55" t="inlineStr">
        <is>
          <t>Giếng inox</t>
        </is>
      </c>
      <c r="B54" s="55" t="n">
        <v>43</v>
      </c>
      <c r="C54" s="55" t="inlineStr">
        <is>
          <t>8SP77-05</t>
        </is>
      </c>
      <c r="D54" s="55" t="inlineStr">
        <is>
          <t>E Lưu lượng (m3/h)</t>
        </is>
      </c>
      <c r="E54" s="55" t="n">
        <v>90</v>
      </c>
      <c r="F54" s="55" t="n">
        <v>96</v>
      </c>
      <c r="G54" s="55" t="inlineStr">
        <is>
          <t>PEROTAC - Bơm giếng SP.pdf, tr.10</t>
        </is>
      </c>
    </row>
    <row r="55">
      <c r="A55" s="55" t="inlineStr">
        <is>
          <t>Giếng inox</t>
        </is>
      </c>
      <c r="B55" s="55" t="n">
        <v>43</v>
      </c>
      <c r="C55" s="55" t="inlineStr">
        <is>
          <t>8SP77-05</t>
        </is>
      </c>
      <c r="D55" s="55" t="inlineStr">
        <is>
          <t>F Cột áp (m)</t>
        </is>
      </c>
      <c r="E55" s="55" t="n">
        <v>99</v>
      </c>
      <c r="F55" s="55" t="n">
        <v>101</v>
      </c>
      <c r="G55" s="55" t="inlineStr">
        <is>
          <t>PEROTAC - Bơm giếng SP.pdf, tr.10</t>
        </is>
      </c>
    </row>
    <row r="56">
      <c r="A56" s="55" t="inlineStr">
        <is>
          <t>Giếng inox</t>
        </is>
      </c>
      <c r="B56" s="55" t="n">
        <v>44</v>
      </c>
      <c r="C56" s="55" t="inlineStr">
        <is>
          <t>8SP95-04</t>
        </is>
      </c>
      <c r="D56" s="55" t="inlineStr">
        <is>
          <t>C CÔNG SUẤT (KW)</t>
        </is>
      </c>
      <c r="E56" s="55" t="n">
        <v>18.5</v>
      </c>
      <c r="F56" s="55" t="n">
        <v>22</v>
      </c>
      <c r="G56" s="55" t="inlineStr">
        <is>
          <t>PEROTAC - Bơm giếng SP.pdf, tr.11</t>
        </is>
      </c>
    </row>
    <row r="57">
      <c r="A57" s="55" t="inlineStr">
        <is>
          <t>Giếng inox</t>
        </is>
      </c>
      <c r="B57" s="55" t="n">
        <v>44</v>
      </c>
      <c r="C57" s="55" t="inlineStr">
        <is>
          <t>8SP95-04</t>
        </is>
      </c>
      <c r="D57" s="55" t="inlineStr">
        <is>
          <t>E Lưu lượng (m3/h)</t>
        </is>
      </c>
      <c r="E57" s="55" t="n">
        <v>110</v>
      </c>
      <c r="F57" s="55" t="n">
        <v>120</v>
      </c>
      <c r="G57" s="55" t="inlineStr">
        <is>
          <t>PEROTAC - Bơm giếng SP.pdf, tr.11</t>
        </is>
      </c>
    </row>
    <row r="58">
      <c r="A58" s="55" t="inlineStr">
        <is>
          <t>Giếng inox</t>
        </is>
      </c>
      <c r="B58" s="55" t="n">
        <v>44</v>
      </c>
      <c r="C58" s="55" t="inlineStr">
        <is>
          <t>8SP95-04</t>
        </is>
      </c>
      <c r="D58" s="55" t="inlineStr">
        <is>
          <t>F Cột áp (m)</t>
        </is>
      </c>
      <c r="E58" s="55" t="n">
        <v>82</v>
      </c>
      <c r="F58" s="55" t="n">
        <v>85</v>
      </c>
      <c r="G58" s="55" t="inlineStr">
        <is>
          <t>PEROTAC - Bơm giếng SP.pdf, tr.11</t>
        </is>
      </c>
    </row>
    <row r="59">
      <c r="A59" s="55" t="inlineStr">
        <is>
          <t>Giếng inox</t>
        </is>
      </c>
      <c r="B59" s="55" t="n">
        <v>46</v>
      </c>
      <c r="C59" s="55" t="inlineStr">
        <is>
          <t>8SP77-06</t>
        </is>
      </c>
      <c r="D59" s="55" t="inlineStr">
        <is>
          <t>E Lưu lượng (m3/h)</t>
        </is>
      </c>
      <c r="E59" s="55" t="n">
        <v>90</v>
      </c>
      <c r="F59" s="55" t="n">
        <v>96</v>
      </c>
      <c r="G59" s="55" t="inlineStr">
        <is>
          <t>PEROTAC - Bơm giếng SP.pdf, tr.10</t>
        </is>
      </c>
    </row>
    <row r="60">
      <c r="A60" s="55" t="inlineStr">
        <is>
          <t>Giếng inox</t>
        </is>
      </c>
      <c r="B60" s="55" t="n">
        <v>46</v>
      </c>
      <c r="C60" s="55" t="inlineStr">
        <is>
          <t>8SP77-06</t>
        </is>
      </c>
      <c r="D60" s="55" t="inlineStr">
        <is>
          <t>F Cột áp (m)</t>
        </is>
      </c>
      <c r="E60" s="55" t="n">
        <v>119</v>
      </c>
      <c r="F60" s="55" t="n">
        <v>121</v>
      </c>
      <c r="G60" s="55" t="inlineStr">
        <is>
          <t>PEROTAC - Bơm giếng SP.pdf, tr.10</t>
        </is>
      </c>
    </row>
    <row r="61">
      <c r="A61" s="55" t="inlineStr">
        <is>
          <t>Giếng inox</t>
        </is>
      </c>
      <c r="B61" s="55" t="n">
        <v>47</v>
      </c>
      <c r="C61" s="55" t="inlineStr">
        <is>
          <t>8SP95-05</t>
        </is>
      </c>
      <c r="D61" s="55" t="inlineStr">
        <is>
          <t>C CÔNG SUẤT (KW)</t>
        </is>
      </c>
      <c r="E61" s="55" t="n">
        <v>22</v>
      </c>
      <c r="F61" s="55" t="n">
        <v>26</v>
      </c>
      <c r="G61" s="55" t="inlineStr">
        <is>
          <t>PEROTAC - Bơm giếng SP.pdf, tr.11</t>
        </is>
      </c>
    </row>
    <row r="62">
      <c r="A62" s="55" t="inlineStr">
        <is>
          <t>Giếng inox</t>
        </is>
      </c>
      <c r="B62" s="55" t="n">
        <v>47</v>
      </c>
      <c r="C62" s="55" t="inlineStr">
        <is>
          <t>8SP95-05</t>
        </is>
      </c>
      <c r="D62" s="55" t="inlineStr">
        <is>
          <t>E Lưu lượng (m3/h)</t>
        </is>
      </c>
      <c r="E62" s="55" t="n">
        <v>110</v>
      </c>
      <c r="F62" s="55" t="n">
        <v>120</v>
      </c>
      <c r="G62" s="55" t="inlineStr">
        <is>
          <t>PEROTAC - Bơm giếng SP.pdf, tr.11</t>
        </is>
      </c>
    </row>
    <row r="63">
      <c r="A63" s="55" t="inlineStr">
        <is>
          <t>Giếng inox</t>
        </is>
      </c>
      <c r="B63" s="55" t="n">
        <v>47</v>
      </c>
      <c r="C63" s="55" t="inlineStr">
        <is>
          <t>8SP95-05</t>
        </is>
      </c>
      <c r="D63" s="55" t="inlineStr">
        <is>
          <t>F Cột áp (m)</t>
        </is>
      </c>
      <c r="E63" s="55" t="n">
        <v>102</v>
      </c>
      <c r="F63" s="55" t="n">
        <v>106</v>
      </c>
      <c r="G63" s="55" t="inlineStr">
        <is>
          <t>PEROTAC - Bơm giếng SP.pdf, tr.11</t>
        </is>
      </c>
    </row>
    <row r="64">
      <c r="A64" s="55" t="inlineStr">
        <is>
          <t>Giếng inox</t>
        </is>
      </c>
      <c r="B64" s="55" t="n">
        <v>49</v>
      </c>
      <c r="C64" s="55" t="inlineStr">
        <is>
          <t>8SP77-08</t>
        </is>
      </c>
      <c r="D64" s="55" t="inlineStr">
        <is>
          <t>E Lưu lượng (m3/h)</t>
        </is>
      </c>
      <c r="E64" s="55" t="n">
        <v>90</v>
      </c>
      <c r="F64" s="55" t="n">
        <v>96</v>
      </c>
      <c r="G64" s="55" t="inlineStr">
        <is>
          <t>PEROTAC - Bơm giếng SP.pdf, tr.10</t>
        </is>
      </c>
    </row>
    <row r="65">
      <c r="A65" s="55" t="inlineStr">
        <is>
          <t>Giếng inox</t>
        </is>
      </c>
      <c r="B65" s="55" t="n">
        <v>49</v>
      </c>
      <c r="C65" s="55" t="inlineStr">
        <is>
          <t>8SP77-08</t>
        </is>
      </c>
      <c r="D65" s="55" t="inlineStr">
        <is>
          <t>F Cột áp (m)</t>
        </is>
      </c>
      <c r="E65" s="55" t="n">
        <v>159</v>
      </c>
      <c r="F65" s="55" t="n">
        <v>161</v>
      </c>
      <c r="G65" s="55" t="inlineStr">
        <is>
          <t>PEROTAC - Bơm giếng SP.pdf, tr.10</t>
        </is>
      </c>
    </row>
    <row r="66">
      <c r="A66" s="55" t="inlineStr">
        <is>
          <t>Giếng inox</t>
        </is>
      </c>
      <c r="B66" s="55" t="n">
        <v>51</v>
      </c>
      <c r="C66" s="55" t="inlineStr">
        <is>
          <t>8SP77-10</t>
        </is>
      </c>
      <c r="D66" s="55" t="inlineStr">
        <is>
          <t>E Lưu lượng (m3/h)</t>
        </is>
      </c>
      <c r="E66" s="55" t="n">
        <v>90</v>
      </c>
      <c r="F66" s="55" t="n">
        <v>96</v>
      </c>
      <c r="G66" s="55" t="inlineStr">
        <is>
          <t>PEROTAC - Bơm giếng SP.pdf, tr.10</t>
        </is>
      </c>
    </row>
    <row r="67">
      <c r="A67" s="55" t="inlineStr">
        <is>
          <t>Giếng inox</t>
        </is>
      </c>
      <c r="B67" s="55" t="n">
        <v>51</v>
      </c>
      <c r="C67" s="55" t="inlineStr">
        <is>
          <t>8SP77-10</t>
        </is>
      </c>
      <c r="D67" s="55" t="inlineStr">
        <is>
          <t>F Cột áp (m)</t>
        </is>
      </c>
      <c r="E67" s="55" t="n">
        <v>198</v>
      </c>
      <c r="F67" s="55" t="n">
        <v>201</v>
      </c>
      <c r="G67" s="55" t="inlineStr">
        <is>
          <t>PEROTAC - Bơm giếng SP.pdf, tr.10</t>
        </is>
      </c>
    </row>
    <row r="68">
      <c r="A68" s="55" t="inlineStr">
        <is>
          <t>Giếng inox</t>
        </is>
      </c>
      <c r="B68" s="55" t="n">
        <v>52</v>
      </c>
      <c r="C68" s="55" t="inlineStr">
        <is>
          <t>8SP95-08</t>
        </is>
      </c>
      <c r="D68" s="55" t="inlineStr">
        <is>
          <t>C CÔNG SUẤT (KW)</t>
        </is>
      </c>
      <c r="E68" s="55" t="n">
        <v>37</v>
      </c>
      <c r="F68" s="55" t="n">
        <v>45</v>
      </c>
      <c r="G68" s="55" t="inlineStr">
        <is>
          <t>PEROTAC - Bơm giếng SP.pdf, tr.11</t>
        </is>
      </c>
    </row>
    <row r="69">
      <c r="A69" s="55" t="inlineStr">
        <is>
          <t>Giếng inox</t>
        </is>
      </c>
      <c r="B69" s="55" t="n">
        <v>52</v>
      </c>
      <c r="C69" s="55" t="inlineStr">
        <is>
          <t>8SP95-08</t>
        </is>
      </c>
      <c r="D69" s="55" t="inlineStr">
        <is>
          <t>E Lưu lượng (m3/h)</t>
        </is>
      </c>
      <c r="E69" s="55" t="n">
        <v>110</v>
      </c>
      <c r="F69" s="55" t="n">
        <v>120</v>
      </c>
      <c r="G69" s="55" t="inlineStr">
        <is>
          <t>PEROTAC - Bơm giếng SP.pdf, tr.11</t>
        </is>
      </c>
    </row>
    <row r="70">
      <c r="A70" s="55" t="inlineStr">
        <is>
          <t>Giếng inox</t>
        </is>
      </c>
      <c r="B70" s="55" t="n">
        <v>52</v>
      </c>
      <c r="C70" s="55" t="inlineStr">
        <is>
          <t>8SP95-08</t>
        </is>
      </c>
      <c r="D70" s="55" t="inlineStr">
        <is>
          <t>F Cột áp (m)</t>
        </is>
      </c>
      <c r="E70" s="55" t="n">
        <v>163</v>
      </c>
      <c r="F70" s="55" t="n">
        <v>170</v>
      </c>
      <c r="G70" s="55" t="inlineStr">
        <is>
          <t>PEROTAC - Bơm giếng SP.pdf, tr.11</t>
        </is>
      </c>
    </row>
    <row r="71">
      <c r="A71" s="55" t="inlineStr">
        <is>
          <t>Giếng inox</t>
        </is>
      </c>
      <c r="B71" s="55" t="n">
        <v>54</v>
      </c>
      <c r="C71" s="55" t="inlineStr">
        <is>
          <t>8SP77-12</t>
        </is>
      </c>
      <c r="D71" s="55" t="inlineStr">
        <is>
          <t>E Lưu lượng (m3/h)</t>
        </is>
      </c>
      <c r="E71" s="55" t="n">
        <v>90</v>
      </c>
      <c r="F71" s="55" t="n">
        <v>96</v>
      </c>
      <c r="G71" s="55" t="inlineStr">
        <is>
          <t>PEROTAC - Bơm giếng SP.pdf, tr.10</t>
        </is>
      </c>
    </row>
    <row r="72">
      <c r="A72" s="55" t="inlineStr">
        <is>
          <t>Giếng inox</t>
        </is>
      </c>
      <c r="B72" s="55" t="n">
        <v>54</v>
      </c>
      <c r="C72" s="55" t="inlineStr">
        <is>
          <t>8SP77-12</t>
        </is>
      </c>
      <c r="D72" s="55" t="inlineStr">
        <is>
          <t>F Cột áp (m)</t>
        </is>
      </c>
      <c r="E72" s="55" t="n">
        <v>238</v>
      </c>
      <c r="F72" s="55" t="n">
        <v>241</v>
      </c>
      <c r="G72" s="55" t="inlineStr">
        <is>
          <t>PEROTAC - Bơm giếng SP.pdf, tr.10</t>
        </is>
      </c>
    </row>
    <row r="73">
      <c r="A73" s="55" t="inlineStr">
        <is>
          <t>Giếng inox</t>
        </is>
      </c>
      <c r="B73" s="55" t="n">
        <v>55</v>
      </c>
      <c r="C73" s="55" t="inlineStr">
        <is>
          <t>8SP95-10</t>
        </is>
      </c>
      <c r="D73" s="55" t="inlineStr">
        <is>
          <t>C CÔNG SUẤT (KW)</t>
        </is>
      </c>
      <c r="E73" s="55" t="n">
        <v>45</v>
      </c>
      <c r="F73" s="55" t="n">
        <v>55</v>
      </c>
      <c r="G73" s="55" t="inlineStr">
        <is>
          <t>PEROTAC - Bơm giếng SP.pdf, tr.11</t>
        </is>
      </c>
    </row>
    <row r="74">
      <c r="A74" s="55" t="inlineStr">
        <is>
          <t>Giếng inox</t>
        </is>
      </c>
      <c r="B74" s="55" t="n">
        <v>55</v>
      </c>
      <c r="C74" s="55" t="inlineStr">
        <is>
          <t>8SP95-10</t>
        </is>
      </c>
      <c r="D74" s="55" t="inlineStr">
        <is>
          <t>E Lưu lượng (m3/h)</t>
        </is>
      </c>
      <c r="E74" s="55" t="n">
        <v>110</v>
      </c>
      <c r="F74" s="55" t="n">
        <v>120</v>
      </c>
      <c r="G74" s="55" t="inlineStr">
        <is>
          <t>PEROTAC - Bơm giếng SP.pdf, tr.11</t>
        </is>
      </c>
    </row>
    <row r="75">
      <c r="A75" s="55" t="inlineStr">
        <is>
          <t>Giếng inox</t>
        </is>
      </c>
      <c r="B75" s="55" t="n">
        <v>55</v>
      </c>
      <c r="C75" s="55" t="inlineStr">
        <is>
          <t>8SP95-10</t>
        </is>
      </c>
      <c r="D75" s="55" t="inlineStr">
        <is>
          <t>F Cột áp (m)</t>
        </is>
      </c>
      <c r="E75" s="55" t="n">
        <v>204</v>
      </c>
      <c r="F75" s="55" t="n">
        <v>213</v>
      </c>
      <c r="G75" s="55" t="inlineStr">
        <is>
          <t>PEROTAC - Bơm giếng SP.pdf, tr.11</t>
        </is>
      </c>
    </row>
    <row r="76">
      <c r="A76" s="55" t="inlineStr">
        <is>
          <t>Giếng inox</t>
        </is>
      </c>
      <c r="B76" s="55" t="n">
        <v>60</v>
      </c>
      <c r="C76" s="55" t="inlineStr">
        <is>
          <t>8SP95-12</t>
        </is>
      </c>
      <c r="D76" s="55" t="inlineStr">
        <is>
          <t>C CÔNG SUẤT (KW)</t>
        </is>
      </c>
      <c r="E76" s="55" t="n">
        <v>55</v>
      </c>
      <c r="F76" s="55" t="n">
        <v>63</v>
      </c>
      <c r="G76" s="55" t="inlineStr">
        <is>
          <t>PEROTAC - Bơm giếng SP.pdf, tr.11</t>
        </is>
      </c>
    </row>
    <row r="77">
      <c r="A77" s="55" t="inlineStr">
        <is>
          <t>Giếng inox</t>
        </is>
      </c>
      <c r="B77" s="55" t="n">
        <v>60</v>
      </c>
      <c r="C77" s="55" t="inlineStr">
        <is>
          <t>8SP95-12</t>
        </is>
      </c>
      <c r="D77" s="55" t="inlineStr">
        <is>
          <t>E Lưu lượng (m3/h)</t>
        </is>
      </c>
      <c r="E77" s="55" t="n">
        <v>110</v>
      </c>
      <c r="F77" s="55" t="n">
        <v>120</v>
      </c>
      <c r="G77" s="55" t="inlineStr">
        <is>
          <t>PEROTAC - Bơm giếng SP.pdf, tr.11</t>
        </is>
      </c>
    </row>
    <row r="78">
      <c r="A78" s="55" t="inlineStr">
        <is>
          <t>Giếng inox</t>
        </is>
      </c>
      <c r="B78" s="55" t="n">
        <v>60</v>
      </c>
      <c r="C78" s="55" t="inlineStr">
        <is>
          <t>8SP95-12</t>
        </is>
      </c>
      <c r="D78" s="55" t="inlineStr">
        <is>
          <t>F Cột áp (m)</t>
        </is>
      </c>
      <c r="E78" s="55" t="n">
        <v>246</v>
      </c>
      <c r="F78" s="55" t="n">
        <v>255</v>
      </c>
      <c r="G78" s="55" t="inlineStr">
        <is>
          <t>PEROTAC - Bơm giếng SP.pdf, tr.11</t>
        </is>
      </c>
    </row>
    <row r="79">
      <c r="A79" s="55" t="inlineStr">
        <is>
          <t>Giếng inox</t>
        </is>
      </c>
      <c r="B79" s="55" t="n">
        <v>63</v>
      </c>
      <c r="C79" s="55" t="inlineStr">
        <is>
          <t>8SP95-14</t>
        </is>
      </c>
      <c r="D79" s="55" t="inlineStr">
        <is>
          <t>C CÔNG SUẤT (KW)</t>
        </is>
      </c>
      <c r="E79" s="55" t="n">
        <v>63</v>
      </c>
      <c r="F79" s="55" t="n">
        <v>75</v>
      </c>
      <c r="G79" s="55" t="inlineStr">
        <is>
          <t>PEROTAC - Bơm giếng SP.pdf, tr.11</t>
        </is>
      </c>
    </row>
    <row r="80">
      <c r="A80" s="55" t="inlineStr">
        <is>
          <t>Giếng inox</t>
        </is>
      </c>
      <c r="B80" s="55" t="n">
        <v>63</v>
      </c>
      <c r="C80" s="55" t="inlineStr">
        <is>
          <t>8SP95-14</t>
        </is>
      </c>
      <c r="D80" s="55" t="inlineStr">
        <is>
          <t>E Lưu lượng (m3/h)</t>
        </is>
      </c>
      <c r="E80" s="55" t="n">
        <v>110</v>
      </c>
      <c r="F80" s="55" t="n">
        <v>120</v>
      </c>
      <c r="G80" s="55" t="inlineStr">
        <is>
          <t>PEROTAC - Bơm giếng SP.pdf, tr.11</t>
        </is>
      </c>
    </row>
    <row r="81">
      <c r="A81" s="55" t="inlineStr">
        <is>
          <t>Giếng inox</t>
        </is>
      </c>
      <c r="B81" s="55" t="n">
        <v>63</v>
      </c>
      <c r="C81" s="55" t="inlineStr">
        <is>
          <t>8SP95-14</t>
        </is>
      </c>
      <c r="D81" s="55" t="inlineStr">
        <is>
          <t>F Cột áp (m)</t>
        </is>
      </c>
      <c r="E81" s="55" t="n">
        <v>285</v>
      </c>
      <c r="F81" s="55" t="n">
        <v>298</v>
      </c>
      <c r="G81" s="55" t="inlineStr">
        <is>
          <t>PEROTAC - Bơm giếng SP.pdf, tr.11</t>
        </is>
      </c>
    </row>
    <row r="82">
      <c r="A82" s="55" t="inlineStr">
        <is>
          <t>Giếng inox</t>
        </is>
      </c>
      <c r="B82" s="55" t="n">
        <v>64</v>
      </c>
      <c r="C82" s="55" t="inlineStr">
        <is>
          <t>8SP77-20</t>
        </is>
      </c>
      <c r="D82" s="55" t="inlineStr">
        <is>
          <t>E Lưu lượng (m3/h)</t>
        </is>
      </c>
      <c r="E82" s="55" t="n">
        <v>90</v>
      </c>
      <c r="F82" s="55" t="n">
        <v>96</v>
      </c>
      <c r="G82" s="55" t="inlineStr">
        <is>
          <t>PEROTAC - Bơm giếng SP.pdf, tr.10</t>
        </is>
      </c>
    </row>
    <row r="83">
      <c r="A83" s="55" t="inlineStr">
        <is>
          <t>Giếng inox</t>
        </is>
      </c>
      <c r="B83" s="55" t="n">
        <v>64</v>
      </c>
      <c r="C83" s="55" t="inlineStr">
        <is>
          <t>8SP77-20</t>
        </is>
      </c>
      <c r="D83" s="55" t="inlineStr">
        <is>
          <t>F Cột áp (m)</t>
        </is>
      </c>
      <c r="E83" s="55" t="n">
        <v>397</v>
      </c>
      <c r="F83" s="55" t="n">
        <v>402</v>
      </c>
      <c r="G83" s="55" t="inlineStr">
        <is>
          <t>PEROTAC - Bơm giếng SP.pdf, tr.10</t>
        </is>
      </c>
    </row>
    <row r="84">
      <c r="A84" s="55" t="inlineStr">
        <is>
          <t>Giếng inox</t>
        </is>
      </c>
      <c r="B84" s="55" t="n">
        <v>65</v>
      </c>
      <c r="C84" s="55" t="inlineStr">
        <is>
          <t>8SP95-16</t>
        </is>
      </c>
      <c r="D84" s="55" t="inlineStr">
        <is>
          <t>C CÔNG SUẤT (KW)</t>
        </is>
      </c>
      <c r="E84" s="55" t="n">
        <v>75</v>
      </c>
      <c r="F84" s="55" t="n">
        <v>92</v>
      </c>
      <c r="G84" s="55" t="inlineStr">
        <is>
          <t>PEROTAC - Bơm giếng SP.pdf, tr.11</t>
        </is>
      </c>
    </row>
    <row r="85">
      <c r="A85" s="55" t="inlineStr">
        <is>
          <t>Giếng inox</t>
        </is>
      </c>
      <c r="B85" s="55" t="n">
        <v>65</v>
      </c>
      <c r="C85" s="55" t="inlineStr">
        <is>
          <t>8SP95-16</t>
        </is>
      </c>
      <c r="D85" s="55" t="inlineStr">
        <is>
          <t>E Lưu lượng (m3/h)</t>
        </is>
      </c>
      <c r="E85" s="55" t="n">
        <v>110</v>
      </c>
      <c r="F85" s="55" t="n">
        <v>120</v>
      </c>
      <c r="G85" s="55" t="inlineStr">
        <is>
          <t>PEROTAC - Bơm giếng SP.pdf, tr.11</t>
        </is>
      </c>
    </row>
    <row r="86">
      <c r="A86" s="55" t="inlineStr">
        <is>
          <t>Giếng inox</t>
        </is>
      </c>
      <c r="B86" s="55" t="n">
        <v>65</v>
      </c>
      <c r="C86" s="55" t="inlineStr">
        <is>
          <t>8SP95-16</t>
        </is>
      </c>
      <c r="D86" s="55" t="inlineStr">
        <is>
          <t>F Cột áp (m)</t>
        </is>
      </c>
      <c r="E86" s="55" t="n">
        <v>326</v>
      </c>
      <c r="F86" s="55" t="n">
        <v>340</v>
      </c>
      <c r="G86" s="55" t="inlineStr">
        <is>
          <t>PEROTAC - Bơm giếng SP.pdf, tr.11</t>
        </is>
      </c>
    </row>
    <row r="87">
      <c r="A87" s="55" t="inlineStr">
        <is>
          <t>Giếng inox</t>
        </is>
      </c>
      <c r="B87" s="55" t="n">
        <v>69</v>
      </c>
      <c r="C87" s="55" t="inlineStr">
        <is>
          <t>10SP160-03</t>
        </is>
      </c>
      <c r="D87" s="55" t="inlineStr">
        <is>
          <t>E Lưu lượng (m3/h)</t>
        </is>
      </c>
      <c r="E87" s="55" t="n">
        <v>180</v>
      </c>
      <c r="F87" s="55" t="n">
        <v>216</v>
      </c>
      <c r="G87" s="55" t="inlineStr">
        <is>
          <t>PEROTAC - Bơm giếng SP.pdf, tr.13</t>
        </is>
      </c>
    </row>
    <row r="88">
      <c r="A88" s="55" t="inlineStr">
        <is>
          <t>Giếng inox</t>
        </is>
      </c>
      <c r="B88" s="55" t="n">
        <v>69</v>
      </c>
      <c r="C88" s="55" t="inlineStr">
        <is>
          <t>10SP160-03</t>
        </is>
      </c>
      <c r="D88" s="55" t="inlineStr">
        <is>
          <t>F Cột áp (m)</t>
        </is>
      </c>
      <c r="E88" s="55" t="n">
        <v>99</v>
      </c>
      <c r="F88" s="55" t="n">
        <v>103</v>
      </c>
      <c r="G88" s="55" t="inlineStr">
        <is>
          <t>PEROTAC - Bơm giếng SP.pdf, tr.13</t>
        </is>
      </c>
    </row>
    <row r="89">
      <c r="A89" s="55" t="inlineStr">
        <is>
          <t>Giếng inox</t>
        </is>
      </c>
      <c r="B89" s="55" t="n">
        <v>71</v>
      </c>
      <c r="C89" s="55" t="inlineStr">
        <is>
          <t>10SP160-04</t>
        </is>
      </c>
      <c r="D89" s="55" t="inlineStr">
        <is>
          <t>E Lưu lượng (m3/h)</t>
        </is>
      </c>
      <c r="E89" s="55" t="n">
        <v>180</v>
      </c>
      <c r="F89" s="55" t="n">
        <v>216</v>
      </c>
      <c r="G89" s="55" t="inlineStr">
        <is>
          <t>PEROTAC - Bơm giếng SP.pdf, tr.13</t>
        </is>
      </c>
    </row>
    <row r="90">
      <c r="A90" s="55" t="inlineStr">
        <is>
          <t>Giếng inox</t>
        </is>
      </c>
      <c r="B90" s="55" t="n">
        <v>71</v>
      </c>
      <c r="C90" s="55" t="inlineStr">
        <is>
          <t>10SP160-04</t>
        </is>
      </c>
      <c r="D90" s="55" t="inlineStr">
        <is>
          <t>F Cột áp (m)</t>
        </is>
      </c>
      <c r="E90" s="55" t="n">
        <v>132</v>
      </c>
      <c r="F90" s="55" t="n">
        <v>137</v>
      </c>
      <c r="G90" s="55" t="inlineStr">
        <is>
          <t>PEROTAC - Bơm giếng SP.pdf, tr.13</t>
        </is>
      </c>
    </row>
    <row r="91">
      <c r="A91" s="55" t="inlineStr">
        <is>
          <t>Giếng inox</t>
        </is>
      </c>
      <c r="B91" s="55" t="n">
        <v>73</v>
      </c>
      <c r="C91" s="55" t="inlineStr">
        <is>
          <t>10SP160-05</t>
        </is>
      </c>
      <c r="D91" s="55" t="inlineStr">
        <is>
          <t>E Lưu lượng (m3/h)</t>
        </is>
      </c>
      <c r="E91" s="55" t="n">
        <v>180</v>
      </c>
      <c r="F91" s="55" t="n">
        <v>216</v>
      </c>
      <c r="G91" s="55" t="inlineStr">
        <is>
          <t>PEROTAC - Bơm giếng SP.pdf, tr.13</t>
        </is>
      </c>
    </row>
    <row r="92">
      <c r="A92" s="55" t="inlineStr">
        <is>
          <t>Giếng inox</t>
        </is>
      </c>
      <c r="B92" s="55" t="n">
        <v>73</v>
      </c>
      <c r="C92" s="55" t="inlineStr">
        <is>
          <t>10SP160-05</t>
        </is>
      </c>
      <c r="D92" s="55" t="inlineStr">
        <is>
          <t>F Cột áp (m)</t>
        </is>
      </c>
      <c r="E92" s="55" t="n">
        <v>160</v>
      </c>
      <c r="F92" s="55" t="n">
        <v>171</v>
      </c>
      <c r="G92" s="55" t="inlineStr">
        <is>
          <t>PEROTAC - Bơm giếng SP.pdf, tr.13</t>
        </is>
      </c>
    </row>
    <row r="93">
      <c r="A93" s="55" t="inlineStr">
        <is>
          <t>Giếng inox</t>
        </is>
      </c>
      <c r="B93" s="55" t="n">
        <v>75</v>
      </c>
      <c r="C93" s="55" t="inlineStr">
        <is>
          <t>10SP160-06</t>
        </is>
      </c>
      <c r="D93" s="55" t="inlineStr">
        <is>
          <t>E Lưu lượng (m3/h)</t>
        </is>
      </c>
      <c r="E93" s="55" t="n">
        <v>180</v>
      </c>
      <c r="F93" s="55" t="n">
        <v>216</v>
      </c>
      <c r="G93" s="55" t="inlineStr">
        <is>
          <t>PEROTAC - Bơm giếng SP.pdf, tr.13</t>
        </is>
      </c>
    </row>
    <row r="94">
      <c r="A94" s="55" t="inlineStr">
        <is>
          <t>Giếng inox</t>
        </is>
      </c>
      <c r="B94" s="55" t="n">
        <v>75</v>
      </c>
      <c r="C94" s="55" t="inlineStr">
        <is>
          <t>10SP160-06</t>
        </is>
      </c>
      <c r="D94" s="55" t="inlineStr">
        <is>
          <t>F Cột áp (m)</t>
        </is>
      </c>
      <c r="E94" s="55" t="n">
        <v>198</v>
      </c>
      <c r="F94" s="55" t="n">
        <v>205</v>
      </c>
      <c r="G94" s="55" t="inlineStr">
        <is>
          <t>PEROTAC - Bơm giếng SP.pdf, tr.13</t>
        </is>
      </c>
    </row>
    <row r="95">
      <c r="A95" s="55" t="inlineStr">
        <is>
          <t>Giếng inox</t>
        </is>
      </c>
      <c r="B95" s="55" t="n">
        <v>78</v>
      </c>
      <c r="C95" s="55" t="inlineStr">
        <is>
          <t>10SP160-07</t>
        </is>
      </c>
      <c r="D95" s="55" t="inlineStr">
        <is>
          <t>C CÔNG SUẤT (KW)</t>
        </is>
      </c>
      <c r="E95" s="55" t="n">
        <v>93</v>
      </c>
      <c r="F95" s="55" t="n">
        <v>92</v>
      </c>
      <c r="G95" s="55" t="inlineStr">
        <is>
          <t>PEROTAC - Bơm giếng SP.pdf, tr.13</t>
        </is>
      </c>
    </row>
    <row r="96">
      <c r="A96" s="55" t="inlineStr">
        <is>
          <t>Giếng inox</t>
        </is>
      </c>
      <c r="B96" s="55" t="n">
        <v>78</v>
      </c>
      <c r="C96" s="55" t="inlineStr">
        <is>
          <t>10SP160-07</t>
        </is>
      </c>
      <c r="D96" s="55" t="inlineStr">
        <is>
          <t>E Lưu lượng (m3/h)</t>
        </is>
      </c>
      <c r="E96" s="55" t="n">
        <v>180</v>
      </c>
      <c r="F96" s="55" t="n">
        <v>216</v>
      </c>
      <c r="G96" s="55" t="inlineStr">
        <is>
          <t>PEROTAC - Bơm giếng SP.pdf, tr.13</t>
        </is>
      </c>
    </row>
    <row r="97">
      <c r="A97" s="55" t="inlineStr">
        <is>
          <t>Giếng inox</t>
        </is>
      </c>
      <c r="B97" s="55" t="n">
        <v>78</v>
      </c>
      <c r="C97" s="55" t="inlineStr">
        <is>
          <t>10SP160-07</t>
        </is>
      </c>
      <c r="D97" s="55" t="inlineStr">
        <is>
          <t>F Cột áp (m)</t>
        </is>
      </c>
      <c r="E97" s="55" t="n">
        <v>231</v>
      </c>
      <c r="F97" s="55" t="n">
        <v>240</v>
      </c>
      <c r="G97" s="55" t="inlineStr">
        <is>
          <t>PEROTAC - Bơm giếng SP.pdf, tr.13</t>
        </is>
      </c>
    </row>
    <row r="98">
      <c r="A98" s="55" t="inlineStr">
        <is>
          <t>Giếng inox</t>
        </is>
      </c>
      <c r="B98" s="55" t="n">
        <v>79</v>
      </c>
      <c r="C98" s="55" t="inlineStr">
        <is>
          <t>10SP160-08</t>
        </is>
      </c>
      <c r="D98" s="55" t="inlineStr">
        <is>
          <t>C CÔNG SUẤT (KW)</t>
        </is>
      </c>
      <c r="E98" s="55" t="n">
        <v>93</v>
      </c>
      <c r="F98" s="55" t="n">
        <v>92</v>
      </c>
      <c r="G98" s="55" t="inlineStr">
        <is>
          <t>PEROTAC - Bơm giếng SP.pdf, tr.13</t>
        </is>
      </c>
    </row>
    <row r="99">
      <c r="A99" s="55" t="inlineStr">
        <is>
          <t>Giếng inox</t>
        </is>
      </c>
      <c r="B99" s="55" t="n">
        <v>79</v>
      </c>
      <c r="C99" s="55" t="inlineStr">
        <is>
          <t>10SP160-08</t>
        </is>
      </c>
      <c r="D99" s="55" t="inlineStr">
        <is>
          <t>E Lưu lượng (m3/h)</t>
        </is>
      </c>
      <c r="E99" s="55" t="n">
        <v>180</v>
      </c>
      <c r="F99" s="55" t="n">
        <v>216</v>
      </c>
      <c r="G99" s="55" t="inlineStr">
        <is>
          <t>PEROTAC - Bơm giếng SP.pdf, tr.13</t>
        </is>
      </c>
    </row>
    <row r="100">
      <c r="A100" s="55" t="inlineStr">
        <is>
          <t>Giếng inox</t>
        </is>
      </c>
      <c r="B100" s="55" t="n">
        <v>79</v>
      </c>
      <c r="C100" s="55" t="inlineStr">
        <is>
          <t>10SP160-08</t>
        </is>
      </c>
      <c r="D100" s="55" t="inlineStr">
        <is>
          <t>F Cột áp (m)</t>
        </is>
      </c>
      <c r="E100" s="55" t="n">
        <v>264</v>
      </c>
      <c r="F100" s="55" t="n">
        <v>274</v>
      </c>
      <c r="G100" s="55" t="inlineStr">
        <is>
          <t>PEROTAC - Bơm giếng SP.pdf, tr.13</t>
        </is>
      </c>
    </row>
    <row r="101">
      <c r="A101" s="55" t="inlineStr">
        <is>
          <t>Giếng inox</t>
        </is>
      </c>
      <c r="B101" s="55" t="n">
        <v>80</v>
      </c>
      <c r="C101" s="55" t="inlineStr">
        <is>
          <t>10SP160-09</t>
        </is>
      </c>
      <c r="D101" s="55" t="inlineStr">
        <is>
          <t>E Lưu lượng (m3/h)</t>
        </is>
      </c>
      <c r="E101" s="55" t="n">
        <v>180</v>
      </c>
      <c r="F101" s="55" t="n">
        <v>216</v>
      </c>
      <c r="G101" s="55" t="inlineStr">
        <is>
          <t>PEROTAC - Bơm giếng SP.pdf, tr.13</t>
        </is>
      </c>
    </row>
    <row r="102">
      <c r="A102" s="55" t="inlineStr">
        <is>
          <t>Giếng inox</t>
        </is>
      </c>
      <c r="B102" s="55" t="n">
        <v>80</v>
      </c>
      <c r="C102" s="55" t="inlineStr">
        <is>
          <t>10SP160-09</t>
        </is>
      </c>
      <c r="D102" s="55" t="inlineStr">
        <is>
          <t>F Cột áp (m)</t>
        </is>
      </c>
      <c r="E102" s="55" t="n">
        <v>297</v>
      </c>
      <c r="F102" s="55" t="n">
        <v>308</v>
      </c>
      <c r="G102" s="55" t="inlineStr">
        <is>
          <t>PEROTAC - Bơm giếng SP.pdf, tr.13</t>
        </is>
      </c>
    </row>
    <row r="103">
      <c r="A103" s="55" t="inlineStr">
        <is>
          <t>thải Perotac</t>
        </is>
      </c>
      <c r="B103" s="55" t="n">
        <v>5</v>
      </c>
      <c r="C103" s="55" t="inlineStr">
        <is>
          <t>SSM-370 (1 pha)</t>
        </is>
      </c>
      <c r="D103" s="55" t="inlineStr">
        <is>
          <t>F Cột áp max (m)</t>
        </is>
      </c>
      <c r="E103" s="55" t="n">
        <v>7</v>
      </c>
      <c r="F103" s="55" t="n">
        <v>9</v>
      </c>
      <c r="G103" s="55" t="inlineStr">
        <is>
          <t>PEROTAC - Bơm chìm nước thải SS.pdf, tr.1</t>
        </is>
      </c>
    </row>
    <row r="104">
      <c r="A104" s="55" t="inlineStr">
        <is>
          <t>thải Perotac</t>
        </is>
      </c>
      <c r="B104" s="55" t="n">
        <v>38</v>
      </c>
      <c r="C104" s="55" t="inlineStr">
        <is>
          <t>50WC15-25-3</t>
        </is>
      </c>
      <c r="D104" s="55" t="inlineStr">
        <is>
          <t>F Cột áp max (m)</t>
        </is>
      </c>
      <c r="E104" s="55" t="n">
        <v>28</v>
      </c>
      <c r="F104" s="55" t="n">
        <v>30</v>
      </c>
      <c r="G104" s="55" t="inlineStr">
        <is>
          <t>PEROTAC - Bơm cắt rác WC.pdf, tr.2</t>
        </is>
      </c>
    </row>
    <row r="105">
      <c r="A105" s="55" t="inlineStr">
        <is>
          <t>thải Perotac</t>
        </is>
      </c>
      <c r="B105" s="55" t="n">
        <v>52</v>
      </c>
      <c r="C105" s="55" t="inlineStr">
        <is>
          <t>80WC50-15-4</t>
        </is>
      </c>
      <c r="D105" s="55" t="inlineStr">
        <is>
          <t>E Lưu lượng max (m3/h)</t>
        </is>
      </c>
      <c r="E105" s="55" t="n">
        <v>80</v>
      </c>
      <c r="F105" s="55" t="n">
        <v>70</v>
      </c>
      <c r="G105" s="55" t="inlineStr">
        <is>
          <t>PEROTAC - Bơm cắt rác WC.pdf, tr.4</t>
        </is>
      </c>
    </row>
    <row r="106">
      <c r="A106" s="55" t="inlineStr">
        <is>
          <t>thải Perotac</t>
        </is>
      </c>
      <c r="B106" s="55" t="n">
        <v>65</v>
      </c>
      <c r="C106" s="55" t="inlineStr">
        <is>
          <t>150WC120-10-7.5</t>
        </is>
      </c>
      <c r="D106" s="55" t="inlineStr">
        <is>
          <t>E Lưu lượng max (m3/h)</t>
        </is>
      </c>
      <c r="E106" s="55" t="n">
        <v>200</v>
      </c>
      <c r="F106" s="55" t="n">
        <v>210</v>
      </c>
      <c r="G106" s="55" t="inlineStr">
        <is>
          <t>PEROTAC - Bơm cắt rác WC.pdf, tr.6</t>
        </is>
      </c>
    </row>
    <row r="107">
      <c r="A107" s="55" t="inlineStr">
        <is>
          <t>thải Perotac</t>
        </is>
      </c>
      <c r="B107" s="55" t="n">
        <v>73</v>
      </c>
      <c r="C107" s="55" t="inlineStr">
        <is>
          <t xml:space="preserve">200WC200-20-22 </t>
        </is>
      </c>
      <c r="D107" s="55" t="inlineStr">
        <is>
          <t>E Lưu lượng max (m3/h)</t>
        </is>
      </c>
      <c r="E107" s="55" t="n">
        <v>480</v>
      </c>
      <c r="F107" s="55" t="n">
        <v>500</v>
      </c>
      <c r="G107" s="55" t="inlineStr">
        <is>
          <t>PEROTAC - Bơm cắt rác WC.pdf, tr.7</t>
        </is>
      </c>
    </row>
    <row r="108">
      <c r="A108" s="55" t="inlineStr">
        <is>
          <t>thải Perotac</t>
        </is>
      </c>
      <c r="B108" s="55" t="n">
        <v>74</v>
      </c>
      <c r="C108" s="55" t="inlineStr">
        <is>
          <t>200WC250-22-30  Tốc 1450</t>
        </is>
      </c>
      <c r="D108" s="55" t="inlineStr">
        <is>
          <t>F Cột áp max (m)</t>
        </is>
      </c>
      <c r="E108" s="55" t="n">
        <v>28</v>
      </c>
      <c r="F108" s="55" t="n">
        <v>32</v>
      </c>
      <c r="G108" s="55" t="inlineStr">
        <is>
          <t>PEROTAC - Bơm cắt rác WC.pdf, tr.7</t>
        </is>
      </c>
    </row>
    <row r="109">
      <c r="A109" s="55" t="inlineStr">
        <is>
          <t>thải Perotac</t>
        </is>
      </c>
      <c r="B109" s="55" t="n">
        <v>75</v>
      </c>
      <c r="C109" s="55" t="inlineStr">
        <is>
          <t>250WC600-9-30  Tốc 1450</t>
        </is>
      </c>
      <c r="D109" s="55" t="inlineStr">
        <is>
          <t>E Lưu lượng max (m3/h)</t>
        </is>
      </c>
      <c r="E109" s="55" t="n">
        <v>720</v>
      </c>
      <c r="F109" s="55" t="n">
        <v>1100</v>
      </c>
      <c r="G109" s="55" t="inlineStr">
        <is>
          <t>PEROTAC - Bơm cắt rác WC.pdf, tr.8</t>
        </is>
      </c>
    </row>
    <row r="110">
      <c r="A110" s="55" t="inlineStr">
        <is>
          <t>thải Perotac</t>
        </is>
      </c>
      <c r="B110" s="55" t="n">
        <v>75</v>
      </c>
      <c r="C110" s="55" t="inlineStr">
        <is>
          <t>250WC600-9-30  Tốc 1450</t>
        </is>
      </c>
      <c r="D110" s="55" t="inlineStr">
        <is>
          <t>F Cột áp max (m)</t>
        </is>
      </c>
      <c r="E110" s="55" t="n">
        <v>24</v>
      </c>
      <c r="F110" s="55" t="n">
        <v>17</v>
      </c>
      <c r="G110" s="55" t="inlineStr">
        <is>
          <t>PEROTAC - Bơm cắt rác WC.pdf, tr.8</t>
        </is>
      </c>
    </row>
    <row r="111">
      <c r="A111" s="55" t="inlineStr">
        <is>
          <t>thải Perotac</t>
        </is>
      </c>
      <c r="B111" s="55" t="n">
        <v>78</v>
      </c>
      <c r="C111" s="55" t="inlineStr">
        <is>
          <t>300WC800-12-45  Tốc 1450</t>
        </is>
      </c>
      <c r="D111" s="55" t="inlineStr">
        <is>
          <t>E Lưu lượng max (m3/h)</t>
        </is>
      </c>
      <c r="E111" s="55" t="n">
        <v>1500</v>
      </c>
      <c r="F111" s="55" t="n">
        <v>1600</v>
      </c>
      <c r="G111" s="55" t="inlineStr">
        <is>
          <t>PEROTAC - Bơm cắt rác WC.pdf, tr.9</t>
        </is>
      </c>
    </row>
    <row r="112">
      <c r="A112" s="55" t="inlineStr">
        <is>
          <t>thải Perotac</t>
        </is>
      </c>
      <c r="B112" s="55" t="n">
        <v>79</v>
      </c>
      <c r="C112" s="55" t="inlineStr">
        <is>
          <t>300WC800-15-55  Tốc 1450</t>
        </is>
      </c>
      <c r="D112" s="55" t="inlineStr">
        <is>
          <t>E Lưu lượng max (m3/h)</t>
        </is>
      </c>
      <c r="E112" s="55" t="n">
        <v>1700</v>
      </c>
      <c r="F112" s="55" t="n">
        <v>1800</v>
      </c>
      <c r="G112" s="55" t="inlineStr">
        <is>
          <t>PEROTAC - Bơm cắt rác WC.pdf, tr.9</t>
        </is>
      </c>
    </row>
    <row r="113">
      <c r="A113" s="55" t="inlineStr">
        <is>
          <t>thải Perotac</t>
        </is>
      </c>
      <c r="B113" s="55" t="n">
        <v>80</v>
      </c>
      <c r="C113" s="55" t="inlineStr">
        <is>
          <t>300WC800-20-75  Tốc 1450</t>
        </is>
      </c>
      <c r="D113" s="55" t="inlineStr">
        <is>
          <t>E Lưu lượng max (m3/h)</t>
        </is>
      </c>
      <c r="E113" s="55" t="n">
        <v>2100</v>
      </c>
      <c r="F113" s="55" t="n">
        <v>2200</v>
      </c>
      <c r="G113" s="55" t="inlineStr">
        <is>
          <t>PEROTAC - Bơm cắt rác WC.pdf, tr.9</t>
        </is>
      </c>
    </row>
    <row r="114">
      <c r="A114" s="55" t="inlineStr">
        <is>
          <t>thải Perotac</t>
        </is>
      </c>
      <c r="B114" s="55" t="n">
        <v>81</v>
      </c>
      <c r="C114" s="55" t="inlineStr">
        <is>
          <t>300WC950-20-95  Tốc 1450</t>
        </is>
      </c>
      <c r="D114" s="55" t="inlineStr">
        <is>
          <t>E Lưu lượng max (m3/h)</t>
        </is>
      </c>
      <c r="E114" s="55" t="n">
        <v>2100</v>
      </c>
      <c r="F114" s="55" t="n">
        <v>2200</v>
      </c>
      <c r="G114" s="55" t="inlineStr">
        <is>
          <t>PEROTAC - Bơm cắt rác WC.pdf, tr.9</t>
        </is>
      </c>
    </row>
    <row r="115">
      <c r="A115" s="55" t="inlineStr">
        <is>
          <t>thải Perotac</t>
        </is>
      </c>
      <c r="B115" s="55" t="n">
        <v>82</v>
      </c>
      <c r="C115" s="55" t="inlineStr">
        <is>
          <t>300WC1200-20-110  Tốc 1450</t>
        </is>
      </c>
      <c r="D115" s="55" t="inlineStr">
        <is>
          <t>E Lưu lượng max (m3/h)</t>
        </is>
      </c>
      <c r="E115" s="55" t="n">
        <v>2500</v>
      </c>
      <c r="F115" s="55" t="n">
        <v>2600</v>
      </c>
      <c r="G115" s="55" t="inlineStr">
        <is>
          <t>PEROTAC - Bơm cắt rác WC.pdf, tr.9</t>
        </is>
      </c>
    </row>
    <row r="116">
      <c r="A116" s="55" t="inlineStr">
        <is>
          <t>thải Inox</t>
        </is>
      </c>
      <c r="B116" s="55" t="n">
        <v>1</v>
      </c>
      <c r="C116" s="55" t="inlineStr">
        <is>
          <t>(tiêu đề cột)</t>
        </is>
      </c>
      <c r="D116" s="55" t="inlineStr">
        <is>
          <t>D</t>
        </is>
      </c>
      <c r="E116" s="55" t="inlineStr">
        <is>
          <t>Lưu lượng (m3/h)</t>
        </is>
      </c>
      <c r="F116" s="55" t="inlineStr">
        <is>
          <t>Lưu lượng max (m3/h)</t>
        </is>
      </c>
      <c r="G116" s="55" t="inlineStr">
        <is>
          <t>Ghi rõ nghĩa cột theo catalogue</t>
        </is>
      </c>
    </row>
    <row r="117">
      <c r="A117" s="55" t="inlineStr">
        <is>
          <t>thải Inox</t>
        </is>
      </c>
      <c r="B117" s="55" t="n">
        <v>1</v>
      </c>
      <c r="C117" s="55" t="inlineStr">
        <is>
          <t>(tiêu đề cột)</t>
        </is>
      </c>
      <c r="D117" s="55" t="inlineStr">
        <is>
          <t>E</t>
        </is>
      </c>
      <c r="E117" s="55" t="inlineStr">
        <is>
          <t>Cột áp (m)</t>
        </is>
      </c>
      <c r="F117" s="55" t="inlineStr">
        <is>
          <t>Cột áp max (m)</t>
        </is>
      </c>
      <c r="G117" s="55" t="inlineStr">
        <is>
          <t>Ghi rõ nghĩa cột theo catalogue</t>
        </is>
      </c>
    </row>
    <row r="118">
      <c r="A118" s="55" t="inlineStr">
        <is>
          <t>thải Inox</t>
        </is>
      </c>
      <c r="B118" s="55" t="n">
        <v>3</v>
      </c>
      <c r="C118" s="55" t="inlineStr">
        <is>
          <t>FS100/40M</t>
        </is>
      </c>
      <c r="D118" s="55" t="inlineStr">
        <is>
          <t>D Lưu lượng max (m3/h)</t>
        </is>
      </c>
      <c r="E118" s="55" t="n">
        <v>22</v>
      </c>
      <c r="F118" s="55" t="n">
        <v>18</v>
      </c>
      <c r="G118" s="55" t="inlineStr">
        <is>
          <t>AQUARIS - Bơm chìm nước thải FS.pdf, tr.1</t>
        </is>
      </c>
    </row>
    <row r="119">
      <c r="A119" s="55" t="inlineStr">
        <is>
          <t>thải Inox</t>
        </is>
      </c>
      <c r="B119" s="55" t="n">
        <v>8</v>
      </c>
      <c r="C119" s="55" t="inlineStr">
        <is>
          <t>FS100/40T</t>
        </is>
      </c>
      <c r="D119" s="55" t="inlineStr">
        <is>
          <t>D Lưu lượng max (m3/h)</t>
        </is>
      </c>
      <c r="E119" s="55" t="n">
        <v>22</v>
      </c>
      <c r="F119" s="55" t="n">
        <v>18</v>
      </c>
      <c r="G119" s="55" t="inlineStr">
        <is>
          <t>AQUARIS - Bơm chìm nước thải FS.pdf, tr.1</t>
        </is>
      </c>
    </row>
    <row r="120">
      <c r="A120" s="55" t="inlineStr">
        <is>
          <t>thải Inox</t>
        </is>
      </c>
      <c r="B120" s="55" t="n">
        <v>12</v>
      </c>
      <c r="C120" s="55" t="inlineStr">
        <is>
          <t>FS-35-7-2.2</t>
        </is>
      </c>
      <c r="D120" s="55" t="inlineStr">
        <is>
          <t>D Lưu lượng max (m3/h)</t>
        </is>
      </c>
      <c r="E120" s="55" t="n">
        <v>51</v>
      </c>
      <c r="F120" s="55" t="n">
        <v>40</v>
      </c>
      <c r="G120" s="55" t="inlineStr">
        <is>
          <t>AQUARIS - Bơm chìm nước thải FS inox.pdf, tr.1</t>
        </is>
      </c>
    </row>
    <row r="121">
      <c r="A121" s="55" t="inlineStr">
        <is>
          <t>thải Inox</t>
        </is>
      </c>
      <c r="B121" s="55" t="n">
        <v>13</v>
      </c>
      <c r="C121" s="55" t="inlineStr">
        <is>
          <t>FS-50-7-3.0</t>
        </is>
      </c>
      <c r="D121" s="55" t="inlineStr">
        <is>
          <t>D Lưu lượng max (m3/h)</t>
        </is>
      </c>
      <c r="E121" s="55" t="n">
        <v>70</v>
      </c>
      <c r="F121" s="55" t="n">
        <v>60</v>
      </c>
      <c r="G121" s="55" t="inlineStr">
        <is>
          <t>AQUARIS - Bơm chìm nước thải FS inox.pdf, tr.1</t>
        </is>
      </c>
    </row>
    <row r="122">
      <c r="A122" s="55" t="inlineStr">
        <is>
          <t>thải Inox</t>
        </is>
      </c>
      <c r="B122" s="55" t="n">
        <v>14</v>
      </c>
      <c r="C122" s="55" t="inlineStr">
        <is>
          <t>FS-50-10-4.0</t>
        </is>
      </c>
      <c r="D122" s="55" t="inlineStr">
        <is>
          <t>D Lưu lượng max (m3/h)</t>
        </is>
      </c>
      <c r="E122" s="55" t="n">
        <v>85</v>
      </c>
      <c r="F122" s="55" t="n">
        <v>80</v>
      </c>
      <c r="G122" s="55" t="inlineStr">
        <is>
          <t>AQUARIS - Bơm chìm nước thải FS inox.pdf, tr.1</t>
        </is>
      </c>
    </row>
    <row r="123">
      <c r="A123" s="55" t="inlineStr">
        <is>
          <t>thải Inox</t>
        </is>
      </c>
      <c r="B123" s="55" t="n">
        <v>15</v>
      </c>
      <c r="C123" s="55" t="inlineStr">
        <is>
          <t>FS-100-7-5.5</t>
        </is>
      </c>
      <c r="D123" s="55" t="inlineStr">
        <is>
          <t>D Lưu lượng max (m3/h)</t>
        </is>
      </c>
      <c r="E123" s="55" t="n">
        <v>123</v>
      </c>
      <c r="F123" s="55" t="n">
        <v>120</v>
      </c>
      <c r="G123" s="55" t="inlineStr">
        <is>
          <t>AQUARIS - Bơm chìm nước thải FS inox.pdf, tr.1</t>
        </is>
      </c>
    </row>
    <row r="124">
      <c r="A124" s="55" t="inlineStr">
        <is>
          <t>thải Inox</t>
        </is>
      </c>
      <c r="B124" s="55" t="n">
        <v>16</v>
      </c>
      <c r="C124" s="55" t="inlineStr">
        <is>
          <t>FS-100-10-7.5</t>
        </is>
      </c>
      <c r="D124" s="55" t="inlineStr">
        <is>
          <t>D Lưu lượng max (m3/h)</t>
        </is>
      </c>
      <c r="E124" s="55" t="n">
        <v>133</v>
      </c>
      <c r="F124" s="55" t="n">
        <v>120</v>
      </c>
      <c r="G124" s="55" t="inlineStr">
        <is>
          <t>AQUARIS - Bơm chìm nước thải FS inox.pdf, tr.1</t>
        </is>
      </c>
    </row>
    <row r="125">
      <c r="A125" s="55" t="inlineStr">
        <is>
          <t>thải Inox</t>
        </is>
      </c>
      <c r="B125" s="55" t="n">
        <v>17</v>
      </c>
      <c r="C125" s="55" t="inlineStr">
        <is>
          <t>FS-150-15-11</t>
        </is>
      </c>
      <c r="D125" s="55" t="inlineStr">
        <is>
          <t>D Lưu lượng max (m3/h)</t>
        </is>
      </c>
      <c r="E125" s="55" t="n">
        <v>180</v>
      </c>
      <c r="F125" s="55" t="n">
        <v>200</v>
      </c>
      <c r="G125" s="55" t="inlineStr">
        <is>
          <t>AQUARIS - Bơm chìm nước thải FS inox.pdf, tr.2</t>
        </is>
      </c>
    </row>
    <row r="126">
      <c r="A126" s="55" t="inlineStr">
        <is>
          <t>thải Inox</t>
        </is>
      </c>
      <c r="B126" s="55" t="n">
        <v>17</v>
      </c>
      <c r="C126" s="55" t="inlineStr">
        <is>
          <t>FS-150-15-11</t>
        </is>
      </c>
      <c r="D126" s="55" t="inlineStr">
        <is>
          <t>E Cột áp max (m)</t>
        </is>
      </c>
      <c r="E126" s="55" t="n">
        <v>24</v>
      </c>
      <c r="F126" s="55" t="n">
        <v>26</v>
      </c>
      <c r="G126" s="55" t="inlineStr">
        <is>
          <t>AQUARIS - Bơm chìm nước thải FS inox.pdf, tr.2</t>
        </is>
      </c>
    </row>
    <row r="127">
      <c r="A127" s="55" t="inlineStr">
        <is>
          <t>thải Inox</t>
        </is>
      </c>
      <c r="B127" s="55" t="n">
        <v>18</v>
      </c>
      <c r="C127" s="55" t="inlineStr">
        <is>
          <t>FS-150-20-15</t>
        </is>
      </c>
      <c r="D127" s="55" t="inlineStr">
        <is>
          <t>D Lưu lượng max (m3/h)</t>
        </is>
      </c>
      <c r="E127" s="55" t="n">
        <v>180</v>
      </c>
      <c r="F127" s="55" t="n">
        <v>250</v>
      </c>
      <c r="G127" s="55" t="inlineStr">
        <is>
          <t>AQUARIS - Bơm chìm nước thải FS inox.pdf, tr.2</t>
        </is>
      </c>
    </row>
    <row r="128">
      <c r="A128" s="55" t="inlineStr">
        <is>
          <t>Con sò</t>
        </is>
      </c>
      <c r="B128" s="55" t="n">
        <v>1</v>
      </c>
      <c r="C128" s="55" t="inlineStr">
        <is>
          <t>(tiêu đề cột)</t>
        </is>
      </c>
      <c r="D128" s="55" t="inlineStr">
        <is>
          <t>D</t>
        </is>
      </c>
      <c r="E128" s="55" t="inlineStr">
        <is>
          <t>Lưu lượng (m3/h)</t>
        </is>
      </c>
      <c r="F128" s="55" t="inlineStr">
        <is>
          <t>Lưu lượng max (m3/h)</t>
        </is>
      </c>
      <c r="G128" s="55" t="inlineStr">
        <is>
          <t>Ghi rõ nghĩa cột theo catalogue</t>
        </is>
      </c>
    </row>
    <row r="129">
      <c r="A129" s="55" t="inlineStr">
        <is>
          <t>Con sò</t>
        </is>
      </c>
      <c r="B129" s="55" t="n">
        <v>1</v>
      </c>
      <c r="C129" s="55" t="inlineStr">
        <is>
          <t>(tiêu đề cột)</t>
        </is>
      </c>
      <c r="D129" s="55" t="inlineStr">
        <is>
          <t>E</t>
        </is>
      </c>
      <c r="E129" s="55" t="inlineStr">
        <is>
          <t>Cột áp (KPa)</t>
        </is>
      </c>
      <c r="F129" s="55" t="inlineStr">
        <is>
          <t>Áp lực max (KPa)</t>
        </is>
      </c>
      <c r="G129" s="55" t="inlineStr">
        <is>
          <t>Ghi rõ nghĩa cột theo catalogue</t>
        </is>
      </c>
    </row>
    <row r="130">
      <c r="A130" s="55" t="inlineStr">
        <is>
          <t>Con sò</t>
        </is>
      </c>
      <c r="B130" s="55" t="n">
        <v>5</v>
      </c>
      <c r="C130" s="55" t="inlineStr">
        <is>
          <t>GB-370</t>
        </is>
      </c>
      <c r="D130" s="55" t="inlineStr">
        <is>
          <t>D Lưu lượng max (m3/h)</t>
        </is>
      </c>
      <c r="E130" s="55" t="n">
        <v>57</v>
      </c>
      <c r="F130" s="55" t="n">
        <v>60</v>
      </c>
      <c r="G130" s="55" t="inlineStr">
        <is>
          <t>PEROTAC - Máy thổi khí con sò GB.pdf, tr.3</t>
        </is>
      </c>
    </row>
    <row r="131">
      <c r="A131" s="55" t="inlineStr">
        <is>
          <t>Con sò</t>
        </is>
      </c>
      <c r="B131" s="55" t="n">
        <v>5</v>
      </c>
      <c r="C131" s="55" t="inlineStr">
        <is>
          <t>GB-370</t>
        </is>
      </c>
      <c r="D131" s="55" t="inlineStr">
        <is>
          <t>E Áp lực max (KPa)</t>
        </is>
      </c>
      <c r="E131" s="55" t="n">
        <v>14</v>
      </c>
      <c r="F131" s="55" t="n">
        <v>16</v>
      </c>
      <c r="G131" s="55" t="inlineStr">
        <is>
          <t>PEROTAC - Máy thổi khí con sò GB.pdf, tr.3</t>
        </is>
      </c>
    </row>
    <row r="132">
      <c r="A132" s="55" t="inlineStr">
        <is>
          <t>Con sò</t>
        </is>
      </c>
      <c r="B132" s="55" t="n">
        <v>20</v>
      </c>
      <c r="C132" s="55" t="inlineStr">
        <is>
          <t>GB-11000S</t>
        </is>
      </c>
      <c r="D132" s="55" t="inlineStr">
        <is>
          <t>D Lưu lượng max (m3/h)</t>
        </is>
      </c>
      <c r="E132" s="55" t="n">
        <v>1200</v>
      </c>
      <c r="F132" s="55" t="n">
        <v>1050</v>
      </c>
      <c r="G132" s="55" t="inlineStr">
        <is>
          <t>PEROTAC - Máy thổi khí con sò GB.pdf, tr.9</t>
        </is>
      </c>
    </row>
    <row r="133">
      <c r="A133" s="55" t="inlineStr">
        <is>
          <t>Con sò</t>
        </is>
      </c>
      <c r="B133" s="55" t="n">
        <v>21</v>
      </c>
      <c r="C133" s="55" t="inlineStr">
        <is>
          <t>GB-15000S</t>
        </is>
      </c>
      <c r="D133" s="55" t="inlineStr">
        <is>
          <t>D Lưu lượng max (m3/h)</t>
        </is>
      </c>
      <c r="E133" s="55" t="n">
        <v>1037</v>
      </c>
      <c r="F133" s="55" t="n">
        <v>1050</v>
      </c>
      <c r="G133" s="55" t="inlineStr">
        <is>
          <t>PEROTAC - Máy thổi khí con sò GB.pdf, tr.10</t>
        </is>
      </c>
    </row>
    <row r="134">
      <c r="A134" s="55" t="inlineStr">
        <is>
          <t>Con sò</t>
        </is>
      </c>
      <c r="B134" s="55" t="n">
        <v>21</v>
      </c>
      <c r="C134" s="55" t="inlineStr">
        <is>
          <t>GB-15000S</t>
        </is>
      </c>
      <c r="D134" s="55" t="inlineStr">
        <is>
          <t>E Áp lực max (KPa)</t>
        </is>
      </c>
      <c r="E134" s="55" t="n">
        <v>95</v>
      </c>
      <c r="F134" s="55" t="n">
        <v>77</v>
      </c>
      <c r="G134" s="55" t="inlineStr">
        <is>
          <t>PEROTAC - Máy thổi khí con sò GB.pdf, tr.10</t>
        </is>
      </c>
    </row>
    <row r="135">
      <c r="A135" s="55" t="inlineStr">
        <is>
          <t>Con sò</t>
        </is>
      </c>
      <c r="B135" s="55" t="n">
        <v>31</v>
      </c>
      <c r="C135" s="55" t="inlineStr">
        <is>
          <t>GB-3000S/2</t>
        </is>
      </c>
      <c r="D135" s="55" t="inlineStr">
        <is>
          <t>E Áp lực max (KPa)</t>
        </is>
      </c>
      <c r="E135" s="55" t="n">
        <v>43</v>
      </c>
      <c r="F135" s="55" t="n">
        <v>44</v>
      </c>
      <c r="G135" s="55" t="inlineStr">
        <is>
          <t>PEROTAC - Máy thổi khí con sò GB.pdf, tr.13</t>
        </is>
      </c>
    </row>
    <row r="136">
      <c r="A136" s="55" t="inlineStr">
        <is>
          <t>Trục đứng Inline</t>
        </is>
      </c>
      <c r="B136" s="55" t="n">
        <v>1</v>
      </c>
      <c r="C136" s="55" t="inlineStr">
        <is>
          <t>(tiêu đề cột)</t>
        </is>
      </c>
      <c r="D136" s="55" t="inlineStr">
        <is>
          <t>E</t>
        </is>
      </c>
      <c r="E136" s="55" t="inlineStr">
        <is>
          <t>Lưu lượng max (m3/h)</t>
        </is>
      </c>
      <c r="F136" s="55" t="inlineStr">
        <is>
          <t>Lưu lượng định mức (m3/h)</t>
        </is>
      </c>
      <c r="G136" s="55" t="inlineStr">
        <is>
          <t>Ghi rõ nghĩa cột theo catalogue</t>
        </is>
      </c>
    </row>
    <row r="137">
      <c r="A137" s="55" t="inlineStr">
        <is>
          <t>Trục đứng Inline</t>
        </is>
      </c>
      <c r="B137" s="55" t="n">
        <v>1</v>
      </c>
      <c r="C137" s="55" t="inlineStr">
        <is>
          <t>(tiêu đề cột)</t>
        </is>
      </c>
      <c r="D137" s="55" t="inlineStr">
        <is>
          <t>F</t>
        </is>
      </c>
      <c r="E137" s="55" t="inlineStr">
        <is>
          <t>Cột áp max (m)</t>
        </is>
      </c>
      <c r="F137" s="55" t="inlineStr">
        <is>
          <t>Cột áp định mức (m)</t>
        </is>
      </c>
      <c r="G137" s="55" t="inlineStr">
        <is>
          <t>Ghi rõ nghĩa cột theo catalogue</t>
        </is>
      </c>
    </row>
    <row r="138">
      <c r="A138" s="55" t="inlineStr">
        <is>
          <t>Trục đứng Inline</t>
        </is>
      </c>
      <c r="B138" s="55" t="n">
        <v>3</v>
      </c>
      <c r="C138" s="55" t="inlineStr">
        <is>
          <t>IRG40-100/0.75</t>
        </is>
      </c>
      <c r="D138" s="55" t="inlineStr">
        <is>
          <t>E Lưu lượng định mức (m3/h)</t>
        </is>
      </c>
      <c r="E138" s="55" t="inlineStr">
        <is>
          <t>6,3</t>
        </is>
      </c>
      <c r="F138" s="55" t="n">
        <v>11</v>
      </c>
      <c r="G138" s="55" t="inlineStr">
        <is>
          <t>PEROTAC - Bơm trục đứng IRG.pdf, tr.2</t>
        </is>
      </c>
    </row>
    <row r="139">
      <c r="A139" s="55" t="inlineStr">
        <is>
          <t>Trục đứng Inline</t>
        </is>
      </c>
      <c r="B139" s="55" t="n">
        <v>3</v>
      </c>
      <c r="C139" s="55" t="inlineStr">
        <is>
          <t>IRG40-100/0.75</t>
        </is>
      </c>
      <c r="D139" s="55" t="inlineStr">
        <is>
          <t>F Cột áp định mức (m)</t>
        </is>
      </c>
      <c r="E139" s="55" t="inlineStr">
        <is>
          <t>12,5</t>
        </is>
      </c>
      <c r="F139" s="55" t="n">
        <v>10</v>
      </c>
      <c r="G139" s="55" t="inlineStr">
        <is>
          <t>PEROTAC - Bơm trục đứng IRG.pdf, tr.2</t>
        </is>
      </c>
    </row>
    <row r="140">
      <c r="A140" s="55" t="inlineStr">
        <is>
          <t>Trục đứng Inline</t>
        </is>
      </c>
      <c r="B140" s="55" t="n">
        <v>6</v>
      </c>
      <c r="C140" s="55" t="inlineStr">
        <is>
          <t>IRG40-100/1.1</t>
        </is>
      </c>
      <c r="D140" s="55" t="inlineStr">
        <is>
          <t>E Lưu lượng định mức (m3/h)</t>
        </is>
      </c>
      <c r="E140" s="55" t="inlineStr">
        <is>
          <t>16,3</t>
        </is>
      </c>
      <c r="F140" s="55" t="n">
        <v>12.5</v>
      </c>
      <c r="G140" s="55" t="inlineStr">
        <is>
          <t>PEROTAC - Bơm trục đứng IRG.pdf, tr.2</t>
        </is>
      </c>
    </row>
    <row r="141">
      <c r="A141" s="55" t="inlineStr">
        <is>
          <t>Trục đứng Inline</t>
        </is>
      </c>
      <c r="B141" s="55" t="n">
        <v>6</v>
      </c>
      <c r="C141" s="55" t="inlineStr">
        <is>
          <t>IRG40-100/1.1</t>
        </is>
      </c>
      <c r="D141" s="55" t="inlineStr">
        <is>
          <t>F Cột áp định mức (m)</t>
        </is>
      </c>
      <c r="E141" s="55" t="inlineStr">
        <is>
          <t>13,2</t>
        </is>
      </c>
      <c r="F141" s="55" t="n">
        <v>12.5</v>
      </c>
      <c r="G141" s="55" t="inlineStr">
        <is>
          <t>PEROTAC - Bơm trục đứng IRG.pdf, tr.2</t>
        </is>
      </c>
    </row>
    <row r="142">
      <c r="A142" s="55" t="inlineStr">
        <is>
          <t>Trục đứng Inline</t>
        </is>
      </c>
      <c r="B142" s="55" t="n">
        <v>11</v>
      </c>
      <c r="C142" s="55" t="inlineStr">
        <is>
          <t>IRG40-160/2.2</t>
        </is>
      </c>
      <c r="D142" s="55" t="inlineStr">
        <is>
          <t>E Lưu lượng định mức (m3/h)</t>
        </is>
      </c>
      <c r="E142" s="55" t="inlineStr">
        <is>
          <t>6,3</t>
        </is>
      </c>
      <c r="F142" s="55" t="n">
        <v>11.7</v>
      </c>
      <c r="G142" s="55" t="inlineStr">
        <is>
          <t>PEROTAC - Bơm trục đứng IRG.pdf, tr.2</t>
        </is>
      </c>
    </row>
    <row r="143">
      <c r="A143" s="55" t="inlineStr">
        <is>
          <t>Trục đứng Inline</t>
        </is>
      </c>
      <c r="B143" s="55" t="n">
        <v>11</v>
      </c>
      <c r="C143" s="55" t="inlineStr">
        <is>
          <t>IRG40-160/2.2</t>
        </is>
      </c>
      <c r="D143" s="55" t="inlineStr">
        <is>
          <t>F Cột áp định mức (m)</t>
        </is>
      </c>
      <c r="E143" s="55" t="n">
        <v>32</v>
      </c>
      <c r="F143" s="55" t="n">
        <v>28</v>
      </c>
      <c r="G143" s="55" t="inlineStr">
        <is>
          <t>PEROTAC - Bơm trục đứng IRG.pdf, tr.2</t>
        </is>
      </c>
    </row>
    <row r="144">
      <c r="A144" s="55" t="inlineStr">
        <is>
          <t>Trục đứng Inline</t>
        </is>
      </c>
      <c r="B144" s="55" t="n">
        <v>13</v>
      </c>
      <c r="C144" s="55" t="inlineStr">
        <is>
          <t>IRG65-100/2.2</t>
        </is>
      </c>
      <c r="D144" s="55" t="inlineStr">
        <is>
          <t>E Lưu lượng định mức (m3/h)</t>
        </is>
      </c>
      <c r="E144" s="55" t="n">
        <v>45</v>
      </c>
      <c r="F144" s="55" t="n">
        <v>44.7</v>
      </c>
      <c r="G144" s="55" t="inlineStr">
        <is>
          <t>PEROTAC - Bơm trục đứng IRG.pdf, tr.2</t>
        </is>
      </c>
    </row>
    <row r="145">
      <c r="A145" s="55" t="inlineStr">
        <is>
          <t>Trục đứng Inline</t>
        </is>
      </c>
      <c r="B145" s="55" t="n">
        <v>15</v>
      </c>
      <c r="C145" s="55" t="inlineStr">
        <is>
          <t>IRG40-200/3</t>
        </is>
      </c>
      <c r="D145" s="55" t="inlineStr">
        <is>
          <t>E Lưu lượng định mức (m3/h)</t>
        </is>
      </c>
      <c r="E145" s="55" t="n">
        <v>6</v>
      </c>
      <c r="F145" s="55" t="n">
        <v>10.6</v>
      </c>
      <c r="G145" s="55" t="inlineStr">
        <is>
          <t>PEROTAC - Bơm trục đứng IRG.pdf, tr.2</t>
        </is>
      </c>
    </row>
    <row r="146">
      <c r="A146" s="55" t="inlineStr">
        <is>
          <t>Trục đứng Inline</t>
        </is>
      </c>
      <c r="B146" s="55" t="n">
        <v>15</v>
      </c>
      <c r="C146" s="55" t="inlineStr">
        <is>
          <t>IRG40-200/3</t>
        </is>
      </c>
      <c r="D146" s="55" t="inlineStr">
        <is>
          <t>F Cột áp định mức (m)</t>
        </is>
      </c>
      <c r="E146" s="55" t="n">
        <v>44</v>
      </c>
      <c r="F146" s="55" t="n">
        <v>36</v>
      </c>
      <c r="G146" s="55" t="inlineStr">
        <is>
          <t>PEROTAC - Bơm trục đứng IRG.pdf, tr.2</t>
        </is>
      </c>
    </row>
    <row r="147">
      <c r="A147" s="55" t="inlineStr">
        <is>
          <t>Trục đứng Inline</t>
        </is>
      </c>
      <c r="B147" s="55" t="n">
        <v>16</v>
      </c>
      <c r="C147" s="55" t="inlineStr">
        <is>
          <t>IRG50-160/3</t>
        </is>
      </c>
      <c r="D147" s="55" t="inlineStr">
        <is>
          <t>E Lưu lượng định mức (m3/h)</t>
        </is>
      </c>
      <c r="E147" s="55" t="inlineStr">
        <is>
          <t>12,5</t>
        </is>
      </c>
      <c r="F147" s="55" t="n">
        <v>21.6</v>
      </c>
      <c r="G147" s="55" t="inlineStr">
        <is>
          <t>PEROTAC - Bơm trục đứng IRG.pdf, tr.2</t>
        </is>
      </c>
    </row>
    <row r="148">
      <c r="A148" s="55" t="inlineStr">
        <is>
          <t>Trục đứng Inline</t>
        </is>
      </c>
      <c r="B148" s="55" t="n">
        <v>16</v>
      </c>
      <c r="C148" s="55" t="inlineStr">
        <is>
          <t>IRG50-160/3</t>
        </is>
      </c>
      <c r="D148" s="55" t="inlineStr">
        <is>
          <t>F Cột áp định mức (m)</t>
        </is>
      </c>
      <c r="E148" s="55" t="n">
        <v>32</v>
      </c>
      <c r="F148" s="55" t="n">
        <v>24</v>
      </c>
      <c r="G148" s="55" t="inlineStr">
        <is>
          <t>PEROTAC - Bơm trục đứng IRG.pdf, tr.2</t>
        </is>
      </c>
    </row>
    <row r="149">
      <c r="A149" s="55" t="inlineStr">
        <is>
          <t>Trục đứng Inline</t>
        </is>
      </c>
      <c r="B149" s="55" t="n">
        <v>19</v>
      </c>
      <c r="C149" s="55" t="inlineStr">
        <is>
          <t>IRG40-200/4</t>
        </is>
      </c>
      <c r="D149" s="55" t="inlineStr">
        <is>
          <t>E Lưu lượng định mức (m3/h)</t>
        </is>
      </c>
      <c r="E149" s="55" t="inlineStr">
        <is>
          <t>6,5</t>
        </is>
      </c>
      <c r="F149" s="55" t="n">
        <v>11.7</v>
      </c>
      <c r="G149" s="55" t="inlineStr">
        <is>
          <t>PEROTAC - Bơm trục đứng IRG.pdf, tr.2</t>
        </is>
      </c>
    </row>
    <row r="150">
      <c r="A150" s="55" t="inlineStr">
        <is>
          <t>Trục đứng Inline</t>
        </is>
      </c>
      <c r="B150" s="55" t="n">
        <v>19</v>
      </c>
      <c r="C150" s="55" t="inlineStr">
        <is>
          <t>IRG40-200/4</t>
        </is>
      </c>
      <c r="D150" s="55" t="inlineStr">
        <is>
          <t>F Cột áp định mức (m)</t>
        </is>
      </c>
      <c r="E150" s="55" t="n">
        <v>50</v>
      </c>
      <c r="F150" s="55" t="n">
        <v>44</v>
      </c>
      <c r="G150" s="55" t="inlineStr">
        <is>
          <t>PEROTAC - Bơm trục đứng IRG.pdf, tr.2</t>
        </is>
      </c>
    </row>
    <row r="151">
      <c r="A151" s="55" t="inlineStr">
        <is>
          <t>Trục đứng Inline</t>
        </is>
      </c>
      <c r="B151" s="55" t="n">
        <v>22</v>
      </c>
      <c r="C151" s="55" t="inlineStr">
        <is>
          <t>IRG80-100/4</t>
        </is>
      </c>
      <c r="D151" s="55" t="inlineStr">
        <is>
          <t>E Lưu lượng định mức (m3/h)</t>
        </is>
      </c>
      <c r="E151" s="55" t="n">
        <v>90</v>
      </c>
      <c r="F151" s="55" t="n">
        <v>89</v>
      </c>
      <c r="G151" s="55" t="inlineStr">
        <is>
          <t>PEROTAC - Bơm trục đứng IRG.pdf, tr.2</t>
        </is>
      </c>
    </row>
    <row r="152">
      <c r="A152" s="55" t="inlineStr">
        <is>
          <t>Trục đứng Inline</t>
        </is>
      </c>
      <c r="B152" s="55" t="n">
        <v>26</v>
      </c>
      <c r="C152" s="55" t="inlineStr">
        <is>
          <t>IRG50-200/5.5</t>
        </is>
      </c>
      <c r="D152" s="55" t="inlineStr">
        <is>
          <t>E Lưu lượng định mức (m3/h)</t>
        </is>
      </c>
      <c r="E152" s="55" t="inlineStr">
        <is>
          <t>12,5</t>
        </is>
      </c>
      <c r="F152" s="55" t="n">
        <v>21.8</v>
      </c>
      <c r="G152" s="55" t="inlineStr">
        <is>
          <t>PEROTAC - Bơm trục đứng IRG.pdf, tr.2</t>
        </is>
      </c>
    </row>
    <row r="153">
      <c r="A153" s="55" t="inlineStr">
        <is>
          <t>Trục đứng Inline</t>
        </is>
      </c>
      <c r="B153" s="55" t="n">
        <v>26</v>
      </c>
      <c r="C153" s="55" t="inlineStr">
        <is>
          <t>IRG50-200/5.5</t>
        </is>
      </c>
      <c r="D153" s="55" t="inlineStr">
        <is>
          <t>F Cột áp định mức (m)</t>
        </is>
      </c>
      <c r="E153" s="55" t="n">
        <v>50</v>
      </c>
      <c r="F153" s="55" t="n">
        <v>38</v>
      </c>
      <c r="G153" s="55" t="inlineStr">
        <is>
          <t>PEROTAC - Bơm trục đứng IRG.pdf, tr.2</t>
        </is>
      </c>
    </row>
    <row r="154">
      <c r="A154" s="55" t="inlineStr">
        <is>
          <t>Trục đứng Inline</t>
        </is>
      </c>
      <c r="B154" s="55" t="n">
        <v>28</v>
      </c>
      <c r="C154" s="55" t="inlineStr">
        <is>
          <t>IRG80-100/5.5</t>
        </is>
      </c>
      <c r="D154" s="55" t="inlineStr">
        <is>
          <t>F Cột áp định mức (m)</t>
        </is>
      </c>
      <c r="E154" s="55" t="n">
        <v>12</v>
      </c>
      <c r="F154" s="55" t="n">
        <v>12.5</v>
      </c>
      <c r="G154" s="55" t="inlineStr">
        <is>
          <t>PEROTAC - Bơm trục đứng IRG.pdf, tr.2</t>
        </is>
      </c>
    </row>
    <row r="155">
      <c r="A155" s="55" t="inlineStr">
        <is>
          <t>Trục đứng Inline</t>
        </is>
      </c>
      <c r="B155" s="55" t="n">
        <v>32</v>
      </c>
      <c r="C155" s="55" t="inlineStr">
        <is>
          <t>IRG80-125/7.5</t>
        </is>
      </c>
      <c r="D155" s="55" t="inlineStr">
        <is>
          <t>E Lưu lượng định mức (m3/h)</t>
        </is>
      </c>
      <c r="E155" s="55" t="n">
        <v>92</v>
      </c>
      <c r="F155" s="55" t="n">
        <v>89</v>
      </c>
      <c r="G155" s="55" t="inlineStr">
        <is>
          <t>PEROTAC - Bơm trục đứng IRG.pdf, tr.2</t>
        </is>
      </c>
    </row>
    <row r="156">
      <c r="A156" s="55" t="inlineStr">
        <is>
          <t>Trục đứng Inline</t>
        </is>
      </c>
      <c r="B156" s="55" t="n">
        <v>39</v>
      </c>
      <c r="C156" s="55" t="inlineStr">
        <is>
          <t>IRG125-125/11</t>
        </is>
      </c>
      <c r="D156" s="55" t="inlineStr">
        <is>
          <t>F Cột áp định mức (m)</t>
        </is>
      </c>
      <c r="E156" s="55" t="n">
        <v>17</v>
      </c>
      <c r="F156" s="55" t="n">
        <v>16</v>
      </c>
      <c r="G156" s="55" t="inlineStr">
        <is>
          <t>PEROTAC - Bơm trục đứng IRG.pdf, tr.2</t>
        </is>
      </c>
    </row>
    <row r="157">
      <c r="A157" s="55" t="inlineStr">
        <is>
          <t>Trục đứng Inline</t>
        </is>
      </c>
      <c r="B157" s="55" t="n">
        <v>42</v>
      </c>
      <c r="C157" s="55" t="inlineStr">
        <is>
          <t>IRG65-250/15</t>
        </is>
      </c>
      <c r="D157" s="55" t="inlineStr">
        <is>
          <t>E Lưu lượng định mức (m3/h)</t>
        </is>
      </c>
      <c r="E157" s="55" t="inlineStr">
        <is>
          <t>17,7</t>
        </is>
      </c>
      <c r="F157" s="55" t="n">
        <v>43.3</v>
      </c>
      <c r="G157" s="55" t="inlineStr">
        <is>
          <t>PEROTAC - Bơm trục đứng IRG.pdf, tr.2</t>
        </is>
      </c>
    </row>
    <row r="158">
      <c r="A158" s="55" t="inlineStr">
        <is>
          <t>Trục đứng Inline</t>
        </is>
      </c>
      <c r="B158" s="55" t="n">
        <v>42</v>
      </c>
      <c r="C158" s="55" t="inlineStr">
        <is>
          <t>IRG65-250/15</t>
        </is>
      </c>
      <c r="D158" s="55" t="inlineStr">
        <is>
          <t>F Cột áp định mức (m)</t>
        </is>
      </c>
      <c r="E158" s="55" t="n">
        <v>83</v>
      </c>
      <c r="F158" s="55" t="n">
        <v>60</v>
      </c>
      <c r="G158" s="55" t="inlineStr">
        <is>
          <t>PEROTAC - Bơm trục đứng IRG.pdf, tr.2</t>
        </is>
      </c>
    </row>
    <row r="159">
      <c r="A159" s="55" t="inlineStr">
        <is>
          <t>Trục đứng Inline</t>
        </is>
      </c>
      <c r="B159" s="55" t="n">
        <v>45</v>
      </c>
      <c r="C159" s="55" t="inlineStr">
        <is>
          <t>IRG125-160/15</t>
        </is>
      </c>
      <c r="D159" s="55" t="inlineStr">
        <is>
          <t>F Cột áp định mức (m)</t>
        </is>
      </c>
      <c r="E159" s="55" t="inlineStr">
        <is>
          <t>24,5</t>
        </is>
      </c>
      <c r="F159" s="55" t="n">
        <v>24</v>
      </c>
      <c r="G159" s="55" t="inlineStr">
        <is>
          <t>PEROTAC - Bơm trục đứng IRG.pdf, tr.2</t>
        </is>
      </c>
    </row>
    <row r="160">
      <c r="A160" s="55" t="inlineStr">
        <is>
          <t>Trục đứng Inline</t>
        </is>
      </c>
      <c r="B160" s="55" t="n">
        <v>48</v>
      </c>
      <c r="C160" s="55" t="inlineStr">
        <is>
          <t>IRG100-160/18.5</t>
        </is>
      </c>
      <c r="D160" s="55" t="inlineStr">
        <is>
          <t>E Lưu lượng định mức (m3/h)</t>
        </is>
      </c>
      <c r="E160" s="55" t="n">
        <v>150</v>
      </c>
      <c r="F160" s="55" t="n">
        <v>140</v>
      </c>
      <c r="G160" s="55" t="inlineStr">
        <is>
          <t>PEROTAC - Bơm trục đứng IRG.pdf, tr.2</t>
        </is>
      </c>
    </row>
    <row r="161">
      <c r="A161" s="55" t="inlineStr">
        <is>
          <t>Trục đứng Inline</t>
        </is>
      </c>
      <c r="B161" s="55" t="n">
        <v>49</v>
      </c>
      <c r="C161" s="55" t="inlineStr">
        <is>
          <t>IRG125-160/18.5</t>
        </is>
      </c>
      <c r="D161" s="55" t="inlineStr">
        <is>
          <t>F Cột áp định mức (m)</t>
        </is>
      </c>
      <c r="E161" s="55" t="n">
        <v>30</v>
      </c>
      <c r="F161" s="55" t="n">
        <v>28</v>
      </c>
      <c r="G161" s="55" t="inlineStr">
        <is>
          <t>PEROTAC - Bơm trục đứng IRG.pdf, tr.2</t>
        </is>
      </c>
    </row>
    <row r="162">
      <c r="A162" s="55" t="inlineStr">
        <is>
          <t>Trục đứng Inline</t>
        </is>
      </c>
      <c r="B162" s="55" t="n">
        <v>53</v>
      </c>
      <c r="C162" s="55" t="inlineStr">
        <is>
          <t>IRG100-200/22</t>
        </is>
      </c>
      <c r="D162" s="55" t="inlineStr">
        <is>
          <t>E Lưu lượng định mức (m3/h)</t>
        </is>
      </c>
      <c r="E162" s="55" t="n">
        <v>138</v>
      </c>
      <c r="F162" s="55" t="n">
        <v>100</v>
      </c>
      <c r="G162" s="55" t="inlineStr">
        <is>
          <t>PEROTAC - Bơm trục đứng IRG.pdf, tr.2</t>
        </is>
      </c>
    </row>
    <row r="163">
      <c r="A163" s="55" t="inlineStr">
        <is>
          <t>Trục đứng Inline</t>
        </is>
      </c>
      <c r="B163" s="55" t="n">
        <v>53</v>
      </c>
      <c r="C163" s="55" t="inlineStr">
        <is>
          <t>IRG100-200/22</t>
        </is>
      </c>
      <c r="D163" s="55" t="inlineStr">
        <is>
          <t>F Cột áp định mức (m)</t>
        </is>
      </c>
      <c r="E163" s="55" t="n">
        <v>37</v>
      </c>
      <c r="F163" s="55" t="n">
        <v>40</v>
      </c>
      <c r="G163" s="55" t="inlineStr">
        <is>
          <t>PEROTAC - Bơm trục đứng IRG.pdf, tr.2</t>
        </is>
      </c>
    </row>
    <row r="164">
      <c r="A164" s="55" t="inlineStr">
        <is>
          <t>Trục đứng Inline</t>
        </is>
      </c>
      <c r="B164" s="55" t="n">
        <v>57</v>
      </c>
      <c r="C164" s="55" t="inlineStr">
        <is>
          <t>IRG125-200/30</t>
        </is>
      </c>
      <c r="D164" s="55" t="inlineStr">
        <is>
          <t>F Cột áp định mức (m)</t>
        </is>
      </c>
      <c r="E164" s="55" t="n">
        <v>45</v>
      </c>
      <c r="F164" s="55" t="n">
        <v>44</v>
      </c>
      <c r="G164" s="55" t="inlineStr">
        <is>
          <t>PEROTAC - Bơm trục đứng IRG.pdf, tr.2</t>
        </is>
      </c>
    </row>
    <row r="165">
      <c r="A165" s="55" t="inlineStr">
        <is>
          <t>Trục ngang</t>
        </is>
      </c>
      <c r="B165" s="55" t="n">
        <v>5</v>
      </c>
      <c r="C165" s="55" t="inlineStr">
        <is>
          <t>CM32-200/4.0</t>
        </is>
      </c>
      <c r="D165" s="55" t="inlineStr">
        <is>
          <t>F Cột áp (m)</t>
        </is>
      </c>
      <c r="E165" s="55" t="inlineStr">
        <is>
          <t>54.5 - 30.3</t>
        </is>
      </c>
      <c r="F165" s="55" t="inlineStr">
        <is>
          <t>54.5 - 28</t>
        </is>
      </c>
      <c r="G165" s="55" t="inlineStr">
        <is>
          <t>PEROTAC - Bơm trục ngang CM.pdf, tr.2</t>
        </is>
      </c>
    </row>
    <row r="166">
      <c r="A166" s="55" t="inlineStr">
        <is>
          <t>Trục ngang</t>
        </is>
      </c>
      <c r="B166" s="55" t="n">
        <v>9</v>
      </c>
      <c r="C166" s="55" t="inlineStr">
        <is>
          <t>CM40-160/3.0</t>
        </is>
      </c>
      <c r="D166" s="55" t="inlineStr">
        <is>
          <t>E Lưu lượng (m3/h)</t>
        </is>
      </c>
      <c r="E166" s="55" t="inlineStr">
        <is>
          <t>0 - 36</t>
        </is>
      </c>
      <c r="F166" s="55" t="inlineStr">
        <is>
          <t>0 - 42</t>
        </is>
      </c>
      <c r="G166" s="55" t="inlineStr">
        <is>
          <t>PEROTAC - Bơm trục ngang CM.pdf, tr.3</t>
        </is>
      </c>
    </row>
    <row r="167">
      <c r="A167" s="55" t="inlineStr">
        <is>
          <t>Trục ngang</t>
        </is>
      </c>
      <c r="B167" s="55" t="n">
        <v>10</v>
      </c>
      <c r="C167" s="55" t="inlineStr">
        <is>
          <t>CM40-160/4.0</t>
        </is>
      </c>
      <c r="D167" s="55" t="inlineStr">
        <is>
          <t>E Lưu lượng (m3/h)</t>
        </is>
      </c>
      <c r="E167" s="55" t="inlineStr">
        <is>
          <t>0 - 42</t>
        </is>
      </c>
      <c r="F167" s="55" t="inlineStr">
        <is>
          <t>0 - 48</t>
        </is>
      </c>
      <c r="G167" s="55" t="inlineStr">
        <is>
          <t>PEROTAC - Bơm trục ngang CM.pdf, tr.3</t>
        </is>
      </c>
    </row>
    <row r="168">
      <c r="A168" s="55" t="inlineStr">
        <is>
          <t>Trục ngang</t>
        </is>
      </c>
      <c r="B168" s="55" t="n">
        <v>11</v>
      </c>
      <c r="C168" s="55" t="inlineStr">
        <is>
          <t>CM40-200/5.5</t>
        </is>
      </c>
      <c r="D168" s="55" t="inlineStr">
        <is>
          <t>E Lưu lượng (m3/h)</t>
        </is>
      </c>
      <c r="E168" s="55" t="inlineStr">
        <is>
          <t>0 - 36</t>
        </is>
      </c>
      <c r="F168" s="55" t="inlineStr">
        <is>
          <t>0 - 42</t>
        </is>
      </c>
      <c r="G168" s="55" t="inlineStr">
        <is>
          <t>PEROTAC - Bơm trục ngang CM.pdf, tr.3</t>
        </is>
      </c>
    </row>
    <row r="169">
      <c r="A169" s="55" t="inlineStr">
        <is>
          <t>Trục ngang</t>
        </is>
      </c>
      <c r="B169" s="55" t="n">
        <v>12</v>
      </c>
      <c r="C169" s="55" t="inlineStr">
        <is>
          <t>CM40-200/7.5</t>
        </is>
      </c>
      <c r="D169" s="55" t="inlineStr">
        <is>
          <t>E Lưu lượng (m3/h)</t>
        </is>
      </c>
      <c r="E169" s="55" t="inlineStr">
        <is>
          <t>0 - 42</t>
        </is>
      </c>
      <c r="F169" s="55" t="inlineStr">
        <is>
          <t>0 - 48</t>
        </is>
      </c>
      <c r="G169" s="55" t="inlineStr">
        <is>
          <t>PEROTAC - Bơm trục ngang CM.pdf, tr.3</t>
        </is>
      </c>
    </row>
    <row r="170">
      <c r="A170" s="55" t="inlineStr">
        <is>
          <t>Trục ngang</t>
        </is>
      </c>
      <c r="B170" s="55" t="n">
        <v>13</v>
      </c>
      <c r="C170" s="55" t="inlineStr">
        <is>
          <t>CM40-250/9.2</t>
        </is>
      </c>
      <c r="D170" s="55" t="inlineStr">
        <is>
          <t>E Lưu lượng (m3/h)</t>
        </is>
      </c>
      <c r="E170" s="55" t="inlineStr">
        <is>
          <t>0 - 42</t>
        </is>
      </c>
      <c r="F170" s="55" t="inlineStr">
        <is>
          <t>0 - 48</t>
        </is>
      </c>
      <c r="G170" s="55" t="inlineStr">
        <is>
          <t>PEROTAC - Bơm trục ngang CM.pdf, tr.3</t>
        </is>
      </c>
    </row>
    <row r="171">
      <c r="A171" s="55" t="inlineStr">
        <is>
          <t>Trục ngang</t>
        </is>
      </c>
      <c r="B171" s="55" t="n">
        <v>14</v>
      </c>
      <c r="C171" s="55" t="inlineStr">
        <is>
          <t>CM40-250/11</t>
        </is>
      </c>
      <c r="D171" s="55" t="inlineStr">
        <is>
          <t>E Lưu lượng (m3/h)</t>
        </is>
      </c>
      <c r="E171" s="55" t="inlineStr">
        <is>
          <t>0 - 42</t>
        </is>
      </c>
      <c r="F171" s="55" t="inlineStr">
        <is>
          <t>0 - 48</t>
        </is>
      </c>
      <c r="G171" s="55" t="inlineStr">
        <is>
          <t>PEROTAC - Bơm trục ngang CM.pdf, tr.3</t>
        </is>
      </c>
    </row>
    <row r="172">
      <c r="A172" s="55" t="inlineStr">
        <is>
          <t>Trục ngang</t>
        </is>
      </c>
      <c r="B172" s="55" t="n">
        <v>15</v>
      </c>
      <c r="C172" s="55" t="inlineStr">
        <is>
          <t>CM40-250/15</t>
        </is>
      </c>
      <c r="D172" s="55" t="inlineStr">
        <is>
          <t>E Lưu lượng (m3/h)</t>
        </is>
      </c>
      <c r="E172" s="55" t="inlineStr">
        <is>
          <t>0 - 42</t>
        </is>
      </c>
      <c r="F172" s="55" t="inlineStr">
        <is>
          <t>0 - 48</t>
        </is>
      </c>
      <c r="G172" s="55" t="inlineStr">
        <is>
          <t>PEROTAC - Bơm trục ngang CM.pdf, tr.3</t>
        </is>
      </c>
    </row>
    <row r="173">
      <c r="A173" s="55" t="inlineStr">
        <is>
          <t>Trục ngang</t>
        </is>
      </c>
      <c r="B173" s="55" t="n">
        <v>16</v>
      </c>
      <c r="C173" s="55" t="inlineStr">
        <is>
          <t>CM40-250/18.5</t>
        </is>
      </c>
      <c r="D173" s="55" t="inlineStr">
        <is>
          <t>E Lưu lượng (m3/h)</t>
        </is>
      </c>
      <c r="E173" s="55" t="inlineStr">
        <is>
          <t>0 - 42</t>
        </is>
      </c>
      <c r="F173" s="55" t="inlineStr">
        <is>
          <t>0 - 48</t>
        </is>
      </c>
      <c r="G173" s="55" t="inlineStr">
        <is>
          <t>PEROTAC - Bơm trục ngang CM.pdf, tr.3</t>
        </is>
      </c>
    </row>
    <row r="174">
      <c r="A174" s="55" t="inlineStr">
        <is>
          <t>Trục ngang</t>
        </is>
      </c>
      <c r="B174" s="55" t="n">
        <v>17</v>
      </c>
      <c r="C174" s="55" t="inlineStr">
        <is>
          <t>CM50-125/4.0</t>
        </is>
      </c>
      <c r="D174" s="55" t="inlineStr">
        <is>
          <t>E Lưu lượng (m3/h)</t>
        </is>
      </c>
      <c r="E174" s="55" t="inlineStr">
        <is>
          <t>0 - 72</t>
        </is>
      </c>
      <c r="F174" s="55" t="inlineStr">
        <is>
          <t>0 - 84</t>
        </is>
      </c>
      <c r="G174" s="55" t="inlineStr">
        <is>
          <t>PEROTAC - Bơm trục ngang CM.pdf, tr.4</t>
        </is>
      </c>
    </row>
    <row r="175">
      <c r="A175" s="55" t="inlineStr">
        <is>
          <t>Trục ngang</t>
        </is>
      </c>
      <c r="B175" s="55" t="n">
        <v>18</v>
      </c>
      <c r="C175" s="55" t="inlineStr">
        <is>
          <t>CM50-160/5.5</t>
        </is>
      </c>
      <c r="D175" s="55" t="inlineStr">
        <is>
          <t>E Lưu lượng (m3/h)</t>
        </is>
      </c>
      <c r="E175" s="55" t="inlineStr">
        <is>
          <t>0 - 72</t>
        </is>
      </c>
      <c r="F175" s="55" t="inlineStr">
        <is>
          <t>0 - 84</t>
        </is>
      </c>
      <c r="G175" s="55" t="inlineStr">
        <is>
          <t>PEROTAC - Bơm trục ngang CM.pdf, tr.4</t>
        </is>
      </c>
    </row>
    <row r="176">
      <c r="A176" s="55" t="inlineStr">
        <is>
          <t>Trục ngang</t>
        </is>
      </c>
      <c r="B176" s="55" t="n">
        <v>19</v>
      </c>
      <c r="C176" s="55" t="inlineStr">
        <is>
          <t>CM50-160/7.5</t>
        </is>
      </c>
      <c r="D176" s="55" t="inlineStr">
        <is>
          <t>E Lưu lượng (m3/h)</t>
        </is>
      </c>
      <c r="E176" s="55" t="inlineStr">
        <is>
          <t>0 - 84</t>
        </is>
      </c>
      <c r="F176" s="55" t="inlineStr">
        <is>
          <t>0 - 90</t>
        </is>
      </c>
      <c r="G176" s="55" t="inlineStr">
        <is>
          <t>PEROTAC - Bơm trục ngang CM.pdf, tr.4</t>
        </is>
      </c>
    </row>
    <row r="177">
      <c r="A177" s="55" t="inlineStr">
        <is>
          <t>Trục ngang</t>
        </is>
      </c>
      <c r="B177" s="55" t="n">
        <v>20</v>
      </c>
      <c r="C177" s="55" t="inlineStr">
        <is>
          <t>CM50-200/9.2</t>
        </is>
      </c>
      <c r="D177" s="55" t="inlineStr">
        <is>
          <t>E Lưu lượng (m3/h)</t>
        </is>
      </c>
      <c r="E177" s="55" t="inlineStr">
        <is>
          <t>0 - 72</t>
        </is>
      </c>
      <c r="F177" s="55" t="inlineStr">
        <is>
          <t>0 - 84</t>
        </is>
      </c>
      <c r="G177" s="55" t="inlineStr">
        <is>
          <t>PEROTAC - Bơm trục ngang CM.pdf, tr.4</t>
        </is>
      </c>
    </row>
    <row r="178">
      <c r="A178" s="55" t="inlineStr">
        <is>
          <t>Trục ngang</t>
        </is>
      </c>
      <c r="B178" s="55" t="n">
        <v>21</v>
      </c>
      <c r="C178" s="55" t="inlineStr">
        <is>
          <t>CM50-200/11</t>
        </is>
      </c>
      <c r="D178" s="55" t="inlineStr">
        <is>
          <t>E Lưu lượng (m3/h)</t>
        </is>
      </c>
      <c r="E178" s="55" t="inlineStr">
        <is>
          <t>0 - 84</t>
        </is>
      </c>
      <c r="F178" s="55" t="inlineStr">
        <is>
          <t>0 - 90</t>
        </is>
      </c>
      <c r="G178" s="55" t="inlineStr">
        <is>
          <t>PEROTAC - Bơm trục ngang CM.pdf, tr.4</t>
        </is>
      </c>
    </row>
    <row r="179">
      <c r="A179" s="55" t="inlineStr">
        <is>
          <t>Trục ngang</t>
        </is>
      </c>
      <c r="B179" s="55" t="n">
        <v>22</v>
      </c>
      <c r="C179" s="55" t="inlineStr">
        <is>
          <t>CM50-200/15</t>
        </is>
      </c>
      <c r="D179" s="55" t="inlineStr">
        <is>
          <t>E Lưu lượng (m3/h)</t>
        </is>
      </c>
      <c r="E179" s="55" t="inlineStr">
        <is>
          <t>0 - 84</t>
        </is>
      </c>
      <c r="F179" s="55" t="inlineStr">
        <is>
          <t>0 - 90</t>
        </is>
      </c>
      <c r="G179" s="55" t="inlineStr">
        <is>
          <t>PEROTAC - Bơm trục ngang CM.pdf, tr.4</t>
        </is>
      </c>
    </row>
    <row r="180">
      <c r="A180" s="55" t="inlineStr">
        <is>
          <t>Trục ngang</t>
        </is>
      </c>
      <c r="B180" s="55" t="n">
        <v>23</v>
      </c>
      <c r="C180" s="55" t="inlineStr">
        <is>
          <t>CM50-250/18.5</t>
        </is>
      </c>
      <c r="D180" s="55" t="inlineStr">
        <is>
          <t>E Lưu lượng (m3/h)</t>
        </is>
      </c>
      <c r="E180" s="55" t="inlineStr">
        <is>
          <t>0 - 84</t>
        </is>
      </c>
      <c r="F180" s="55" t="inlineStr">
        <is>
          <t>0 - 90</t>
        </is>
      </c>
      <c r="G180" s="55" t="inlineStr">
        <is>
          <t>PEROTAC - Bơm trục ngang CM.pdf, tr.4</t>
        </is>
      </c>
    </row>
    <row r="181">
      <c r="A181" s="55" t="inlineStr">
        <is>
          <t>Trục ngang</t>
        </is>
      </c>
      <c r="B181" s="55" t="n">
        <v>24</v>
      </c>
      <c r="C181" s="55" t="inlineStr">
        <is>
          <t>CM50-250/22</t>
        </is>
      </c>
      <c r="D181" s="55" t="inlineStr">
        <is>
          <t>E Lưu lượng (m3/h)</t>
        </is>
      </c>
      <c r="E181" s="55" t="inlineStr">
        <is>
          <t>0 - 84</t>
        </is>
      </c>
      <c r="F181" s="55" t="inlineStr">
        <is>
          <t>0 - 90</t>
        </is>
      </c>
      <c r="G181" s="55" t="inlineStr">
        <is>
          <t>PEROTAC - Bơm trục ngang CM.pdf, tr.4</t>
        </is>
      </c>
    </row>
    <row r="182">
      <c r="A182" s="55" t="inlineStr">
        <is>
          <t>Trục ngang</t>
        </is>
      </c>
      <c r="B182" s="55" t="n">
        <v>25</v>
      </c>
      <c r="C182" s="55" t="inlineStr">
        <is>
          <t>CM65-125/5.5</t>
        </is>
      </c>
      <c r="D182" s="55" t="inlineStr">
        <is>
          <t>E Lưu lượng (m3/h)</t>
        </is>
      </c>
      <c r="E182" s="55" t="inlineStr">
        <is>
          <t>0 - 90</t>
        </is>
      </c>
      <c r="F182" s="55" t="inlineStr">
        <is>
          <t>0 - 108</t>
        </is>
      </c>
      <c r="G182" s="55" t="inlineStr">
        <is>
          <t>PEROTAC - Bơm trục ngang CM.pdf, tr.5</t>
        </is>
      </c>
    </row>
    <row r="183">
      <c r="A183" s="55" t="inlineStr">
        <is>
          <t>Trục ngang</t>
        </is>
      </c>
      <c r="B183" s="55" t="n">
        <v>26</v>
      </c>
      <c r="C183" s="55" t="inlineStr">
        <is>
          <t>CM65-125/7.5</t>
        </is>
      </c>
      <c r="D183" s="55" t="inlineStr">
        <is>
          <t>E Lưu lượng (m3/h)</t>
        </is>
      </c>
      <c r="E183" s="55" t="inlineStr">
        <is>
          <t>0 - 108</t>
        </is>
      </c>
      <c r="F183" s="55" t="inlineStr">
        <is>
          <t>0 - 120</t>
        </is>
      </c>
      <c r="G183" s="55" t="inlineStr">
        <is>
          <t>PEROTAC - Bơm trục ngang CM.pdf, tr.5</t>
        </is>
      </c>
    </row>
    <row r="184">
      <c r="A184" s="55" t="inlineStr">
        <is>
          <t>Trục ngang</t>
        </is>
      </c>
      <c r="B184" s="55" t="n">
        <v>27</v>
      </c>
      <c r="C184" s="55" t="inlineStr">
        <is>
          <t>CM65-160/9.2</t>
        </is>
      </c>
      <c r="D184" s="55" t="inlineStr">
        <is>
          <t>E Lưu lượng (m3/h)</t>
        </is>
      </c>
      <c r="E184" s="55" t="inlineStr">
        <is>
          <t>0 - 108</t>
        </is>
      </c>
      <c r="F184" s="55" t="inlineStr">
        <is>
          <t>0 - 120</t>
        </is>
      </c>
      <c r="G184" s="55" t="inlineStr">
        <is>
          <t>PEROTAC - Bơm trục ngang CM.pdf, tr.5</t>
        </is>
      </c>
    </row>
    <row r="185">
      <c r="A185" s="55" t="inlineStr">
        <is>
          <t>Trục ngang</t>
        </is>
      </c>
      <c r="B185" s="55" t="n">
        <v>28</v>
      </c>
      <c r="C185" s="55" t="inlineStr">
        <is>
          <t>CM65-160/11</t>
        </is>
      </c>
      <c r="D185" s="55" t="inlineStr">
        <is>
          <t>E Lưu lượng (m3/h)</t>
        </is>
      </c>
      <c r="E185" s="55" t="inlineStr">
        <is>
          <t>0 - 108</t>
        </is>
      </c>
      <c r="F185" s="55" t="inlineStr">
        <is>
          <t>0 - 120</t>
        </is>
      </c>
      <c r="G185" s="55" t="inlineStr">
        <is>
          <t>PEROTAC - Bơm trục ngang CM.pdf, tr.5</t>
        </is>
      </c>
    </row>
    <row r="186">
      <c r="A186" s="55" t="inlineStr">
        <is>
          <t>Trục ngang</t>
        </is>
      </c>
      <c r="B186" s="55" t="n">
        <v>29</v>
      </c>
      <c r="C186" s="55" t="inlineStr">
        <is>
          <t>CM65-160/15</t>
        </is>
      </c>
      <c r="D186" s="55" t="inlineStr">
        <is>
          <t>E Lưu lượng (m3/h)</t>
        </is>
      </c>
      <c r="E186" s="55" t="inlineStr">
        <is>
          <t>0 - 120</t>
        </is>
      </c>
      <c r="F186" s="55" t="inlineStr">
        <is>
          <t>0 - 138</t>
        </is>
      </c>
      <c r="G186" s="55" t="inlineStr">
        <is>
          <t>PEROTAC - Bơm trục ngang CM.pdf, tr.5</t>
        </is>
      </c>
    </row>
    <row r="187">
      <c r="A187" s="55" t="inlineStr">
        <is>
          <t>Trục ngang</t>
        </is>
      </c>
      <c r="B187" s="55" t="n">
        <v>30</v>
      </c>
      <c r="C187" s="55" t="inlineStr">
        <is>
          <t>CM65-200/18.5</t>
        </is>
      </c>
      <c r="D187" s="55" t="inlineStr">
        <is>
          <t>E Lưu lượng (m3/h)</t>
        </is>
      </c>
      <c r="E187" s="55" t="inlineStr">
        <is>
          <t>0 - 108</t>
        </is>
      </c>
      <c r="F187" s="55" t="inlineStr">
        <is>
          <t>0 - 120</t>
        </is>
      </c>
      <c r="G187" s="55" t="inlineStr">
        <is>
          <t>PEROTAC - Bơm trục ngang CM.pdf, tr.5</t>
        </is>
      </c>
    </row>
    <row r="188">
      <c r="A188" s="55" t="inlineStr">
        <is>
          <t>Trục ngang</t>
        </is>
      </c>
      <c r="B188" s="55" t="n">
        <v>31</v>
      </c>
      <c r="C188" s="55" t="inlineStr">
        <is>
          <t>CM65-200/22</t>
        </is>
      </c>
      <c r="D188" s="55" t="inlineStr">
        <is>
          <t>E Lưu lượng (m3/h)</t>
        </is>
      </c>
      <c r="E188" s="55" t="inlineStr">
        <is>
          <t>0 - 120</t>
        </is>
      </c>
      <c r="F188" s="55" t="inlineStr">
        <is>
          <t>0 - 138</t>
        </is>
      </c>
      <c r="G188" s="55" t="inlineStr">
        <is>
          <t>PEROTAC - Bơm trục ngang CM.pdf, tr.5</t>
        </is>
      </c>
    </row>
    <row r="189">
      <c r="A189" s="55" t="inlineStr">
        <is>
          <t>Trục ngang</t>
        </is>
      </c>
      <c r="B189" s="55" t="n">
        <v>32</v>
      </c>
      <c r="C189" s="55" t="inlineStr">
        <is>
          <t>CM65-250/30</t>
        </is>
      </c>
      <c r="D189" s="55" t="inlineStr">
        <is>
          <t>E Lưu lượng (m3/h)</t>
        </is>
      </c>
      <c r="E189" s="55" t="inlineStr">
        <is>
          <t>0 - 120</t>
        </is>
      </c>
      <c r="F189" s="55" t="inlineStr">
        <is>
          <t>0 - 138</t>
        </is>
      </c>
      <c r="G189" s="55" t="inlineStr">
        <is>
          <t>PEROTAC - Bơm trục ngang CM.pdf, tr.5</t>
        </is>
      </c>
    </row>
    <row r="190">
      <c r="A190" s="55" t="inlineStr">
        <is>
          <t>Trục ngang</t>
        </is>
      </c>
      <c r="B190" s="55" t="n">
        <v>33</v>
      </c>
      <c r="C190" s="55" t="inlineStr">
        <is>
          <t>CM65-250/37</t>
        </is>
      </c>
      <c r="D190" s="55" t="inlineStr">
        <is>
          <t>E Lưu lượng (m3/h)</t>
        </is>
      </c>
      <c r="E190" s="55" t="inlineStr">
        <is>
          <t>0 - 120</t>
        </is>
      </c>
      <c r="F190" s="55" t="inlineStr">
        <is>
          <t>0 - 138</t>
        </is>
      </c>
      <c r="G190" s="55" t="inlineStr">
        <is>
          <t>PEROTAC - Bơm trục ngang CM.pdf, tr.5</t>
        </is>
      </c>
    </row>
    <row r="191">
      <c r="A191" s="55" t="inlineStr">
        <is>
          <t>Trục ngang</t>
        </is>
      </c>
      <c r="B191" s="55" t="n">
        <v>40</v>
      </c>
      <c r="C191" s="55" t="inlineStr">
        <is>
          <t>CM80-250/37</t>
        </is>
      </c>
      <c r="D191" s="55" t="inlineStr">
        <is>
          <t>F Cột áp (m)</t>
        </is>
      </c>
      <c r="E191" s="55" t="inlineStr">
        <is>
          <t>71.5 - 38.5</t>
        </is>
      </c>
      <c r="F191" s="55" t="inlineStr">
        <is>
          <t>71.5 - 41</t>
        </is>
      </c>
      <c r="G191" s="55" t="inlineStr">
        <is>
          <t>PEROTAC - Bơm trục ngang CM.pdf, tr.8</t>
        </is>
      </c>
    </row>
    <row r="192">
      <c r="A192" s="55" t="inlineStr">
        <is>
          <t>Trục ngang inox</t>
        </is>
      </c>
      <c r="B192" s="55" t="n">
        <v>17</v>
      </c>
      <c r="C192" s="55" t="inlineStr">
        <is>
          <t>3M50-200/11</t>
        </is>
      </c>
      <c r="D192" s="55" t="inlineStr">
        <is>
          <t>E Lưu lượng (m3/h)</t>
        </is>
      </c>
      <c r="E192" s="55" t="inlineStr">
        <is>
          <t>36 - 72</t>
        </is>
      </c>
      <c r="F192" s="55" t="inlineStr">
        <is>
          <t>24 - 72</t>
        </is>
      </c>
      <c r="G192" s="55" t="inlineStr">
        <is>
          <t>PEROTAC - Bơm trục ngang 3M.pdf, tr.4</t>
        </is>
      </c>
    </row>
    <row r="193">
      <c r="A193" s="55" t="inlineStr">
        <is>
          <t>Trục ngang inox</t>
        </is>
      </c>
      <c r="B193" s="55" t="n">
        <v>17</v>
      </c>
      <c r="C193" s="55" t="inlineStr">
        <is>
          <t>3M50-200/11</t>
        </is>
      </c>
      <c r="D193" s="55" t="inlineStr">
        <is>
          <t>F Cột áp (m)</t>
        </is>
      </c>
      <c r="E193" s="55" t="inlineStr">
        <is>
          <t>55 - 42</t>
        </is>
      </c>
      <c r="F193" s="55" t="inlineStr">
        <is>
          <t>57 - 42</t>
        </is>
      </c>
      <c r="G193" s="55" t="inlineStr">
        <is>
          <t>PEROTAC - Bơm trục ngang 3M.pdf, tr.4</t>
        </is>
      </c>
    </row>
    <row r="194">
      <c r="A194" s="55" t="inlineStr">
        <is>
          <t>Trục ngang inox</t>
        </is>
      </c>
      <c r="B194" s="55" t="n">
        <v>18</v>
      </c>
      <c r="C194" s="55" t="inlineStr">
        <is>
          <t>3M50-200/15</t>
        </is>
      </c>
      <c r="D194" s="55" t="inlineStr">
        <is>
          <t>E Lưu lượng (m3/h)</t>
        </is>
      </c>
      <c r="E194" s="55" t="inlineStr">
        <is>
          <t>36 - 72</t>
        </is>
      </c>
      <c r="F194" s="55" t="inlineStr">
        <is>
          <t>24 - 72</t>
        </is>
      </c>
      <c r="G194" s="55" t="inlineStr">
        <is>
          <t>PEROTAC - Bơm trục ngang 3M.pdf, tr.4</t>
        </is>
      </c>
    </row>
    <row r="195">
      <c r="A195" s="55" t="inlineStr">
        <is>
          <t>Trục ngang inox</t>
        </is>
      </c>
      <c r="B195" s="55" t="n">
        <v>18</v>
      </c>
      <c r="C195" s="55" t="inlineStr">
        <is>
          <t>3M50-200/15</t>
        </is>
      </c>
      <c r="D195" s="55" t="inlineStr">
        <is>
          <t>F Cột áp (m)</t>
        </is>
      </c>
      <c r="E195" s="55" t="inlineStr">
        <is>
          <t>69 - 57</t>
        </is>
      </c>
      <c r="F195" s="55" t="inlineStr">
        <is>
          <t>70 - 57</t>
        </is>
      </c>
      <c r="G195" s="55" t="inlineStr">
        <is>
          <t>PEROTAC - Bơm trục ngang 3M.pdf, tr.4</t>
        </is>
      </c>
    </row>
    <row r="196">
      <c r="A196" s="55" t="inlineStr">
        <is>
          <t>Trục ngang inox</t>
        </is>
      </c>
      <c r="B196" s="55" t="n">
        <v>19</v>
      </c>
      <c r="C196" s="55" t="inlineStr">
        <is>
          <t>3M65-125/5.5</t>
        </is>
      </c>
      <c r="D196" s="55" t="inlineStr">
        <is>
          <t>E Lưu lượng (m3/h)</t>
        </is>
      </c>
      <c r="E196" s="55" t="inlineStr">
        <is>
          <t>42 - 126</t>
        </is>
      </c>
      <c r="F196" s="55" t="inlineStr">
        <is>
          <t>36 - 126</t>
        </is>
      </c>
      <c r="G196" s="55" t="inlineStr">
        <is>
          <t>PEROTAC - Bơm trục ngang 3M.pdf, tr.5</t>
        </is>
      </c>
    </row>
    <row r="197">
      <c r="A197" s="55" t="inlineStr">
        <is>
          <t>Trục ngang inox</t>
        </is>
      </c>
      <c r="B197" s="55" t="n">
        <v>19</v>
      </c>
      <c r="C197" s="55" t="inlineStr">
        <is>
          <t>3M65-125/5.5</t>
        </is>
      </c>
      <c r="D197" s="55" t="inlineStr">
        <is>
          <t>F Cột áp (m)</t>
        </is>
      </c>
      <c r="E197" s="55" t="inlineStr">
        <is>
          <t>24 - 8</t>
        </is>
      </c>
      <c r="F197" s="55" t="inlineStr">
        <is>
          <t>24.3 - 8</t>
        </is>
      </c>
      <c r="G197" s="55" t="inlineStr">
        <is>
          <t>PEROTAC - Bơm trục ngang 3M.pdf, tr.5</t>
        </is>
      </c>
    </row>
    <row r="198">
      <c r="A198" s="55" t="inlineStr">
        <is>
          <t>Trục ngang inox</t>
        </is>
      </c>
      <c r="B198" s="55" t="n">
        <v>20</v>
      </c>
      <c r="C198" s="55" t="inlineStr">
        <is>
          <t>3M65-125/7.5</t>
        </is>
      </c>
      <c r="D198" s="55" t="inlineStr">
        <is>
          <t>E Lưu lượng (m3/h)</t>
        </is>
      </c>
      <c r="E198" s="55" t="inlineStr">
        <is>
          <t>42 - 132</t>
        </is>
      </c>
      <c r="F198" s="55" t="inlineStr">
        <is>
          <t>36 - 132</t>
        </is>
      </c>
      <c r="G198" s="55" t="inlineStr">
        <is>
          <t>PEROTAC - Bơm trục ngang 3M.pdf, tr.5</t>
        </is>
      </c>
    </row>
    <row r="199">
      <c r="A199" s="55" t="inlineStr">
        <is>
          <t>Trục ngang inox</t>
        </is>
      </c>
      <c r="B199" s="55" t="n">
        <v>20</v>
      </c>
      <c r="C199" s="55" t="inlineStr">
        <is>
          <t>3M65-125/7.5</t>
        </is>
      </c>
      <c r="D199" s="55" t="inlineStr">
        <is>
          <t>F Cột áp (m)</t>
        </is>
      </c>
      <c r="E199" s="55" t="inlineStr">
        <is>
          <t>29.5 - 12</t>
        </is>
      </c>
      <c r="F199" s="55" t="inlineStr">
        <is>
          <t>29.8 - 12</t>
        </is>
      </c>
      <c r="G199" s="55" t="inlineStr">
        <is>
          <t>PEROTAC - Bơm trục ngang 3M.pdf, tr.5</t>
        </is>
      </c>
    </row>
    <row r="200">
      <c r="A200" s="55" t="inlineStr">
        <is>
          <t>Trục ngang inox</t>
        </is>
      </c>
      <c r="B200" s="55" t="n">
        <v>21</v>
      </c>
      <c r="C200" s="55" t="inlineStr">
        <is>
          <t>3M65-160/11</t>
        </is>
      </c>
      <c r="D200" s="55" t="inlineStr">
        <is>
          <t>E Lưu lượng (m3/h)</t>
        </is>
      </c>
      <c r="E200" s="55" t="inlineStr">
        <is>
          <t>42 - 138</t>
        </is>
      </c>
      <c r="F200" s="55" t="inlineStr">
        <is>
          <t>36 - 138</t>
        </is>
      </c>
      <c r="G200" s="55" t="inlineStr">
        <is>
          <t>PEROTAC - Bơm trục ngang 3M.pdf, tr.5</t>
        </is>
      </c>
    </row>
    <row r="201">
      <c r="A201" s="55" t="inlineStr">
        <is>
          <t>Trục ngang inox</t>
        </is>
      </c>
      <c r="B201" s="55" t="n">
        <v>21</v>
      </c>
      <c r="C201" s="55" t="inlineStr">
        <is>
          <t>3M65-160/11</t>
        </is>
      </c>
      <c r="D201" s="55" t="inlineStr">
        <is>
          <t>F Cột áp (m)</t>
        </is>
      </c>
      <c r="E201" s="55" t="inlineStr">
        <is>
          <t>38.5 - 20</t>
        </is>
      </c>
      <c r="F201" s="55" t="inlineStr">
        <is>
          <t>38.8 - 20</t>
        </is>
      </c>
      <c r="G201" s="55" t="inlineStr">
        <is>
          <t>PEROTAC - Bơm trục ngang 3M.pdf, tr.5</t>
        </is>
      </c>
    </row>
    <row r="202">
      <c r="A202" s="55" t="inlineStr">
        <is>
          <t>Trục ngang inox</t>
        </is>
      </c>
      <c r="B202" s="55" t="n">
        <v>23</v>
      </c>
      <c r="C202" s="55" t="inlineStr">
        <is>
          <t>3M65-200/18.5</t>
        </is>
      </c>
      <c r="D202" s="55" t="inlineStr">
        <is>
          <t>E Lưu lượng (m3/h)</t>
        </is>
      </c>
      <c r="E202" s="55" t="inlineStr">
        <is>
          <t>42 - 138</t>
        </is>
      </c>
      <c r="F202" s="55" t="inlineStr">
        <is>
          <t>36 - 138</t>
        </is>
      </c>
      <c r="G202" s="55" t="inlineStr">
        <is>
          <t>PEROTAC - Bơm trục ngang 3M.pdf, tr.5</t>
        </is>
      </c>
    </row>
    <row r="203">
      <c r="A203" s="55" t="inlineStr">
        <is>
          <t>Trục ngang inox</t>
        </is>
      </c>
      <c r="B203" s="55" t="n">
        <v>23</v>
      </c>
      <c r="C203" s="55" t="inlineStr">
        <is>
          <t>3M65-200/18.5</t>
        </is>
      </c>
      <c r="D203" s="55" t="inlineStr">
        <is>
          <t>F Cột áp (m)</t>
        </is>
      </c>
      <c r="E203" s="55" t="inlineStr">
        <is>
          <t>58.5 - 36.3</t>
        </is>
      </c>
      <c r="F203" s="55" t="inlineStr">
        <is>
          <t>58.6 - 36.3</t>
        </is>
      </c>
      <c r="G203" s="55" t="inlineStr">
        <is>
          <t>PEROTAC - Bơm trục ngang 3M.pdf, tr.5</t>
        </is>
      </c>
    </row>
    <row r="204">
      <c r="A204" s="55" t="inlineStr">
        <is>
          <t>Trục ngang inox</t>
        </is>
      </c>
      <c r="B204" s="55" t="n">
        <v>24</v>
      </c>
      <c r="C204" s="55" t="inlineStr">
        <is>
          <t>3M65-200/22</t>
        </is>
      </c>
      <c r="D204" s="55" t="inlineStr">
        <is>
          <t>E Lưu lượng (m3/h)</t>
        </is>
      </c>
      <c r="E204" s="55" t="inlineStr">
        <is>
          <t>42 - 138</t>
        </is>
      </c>
      <c r="F204" s="55" t="inlineStr">
        <is>
          <t>36 - 138</t>
        </is>
      </c>
      <c r="G204" s="55" t="inlineStr">
        <is>
          <t>PEROTAC - Bơm trục ngang 3M.pdf, tr.5</t>
        </is>
      </c>
    </row>
    <row r="205">
      <c r="A205" s="55" t="inlineStr">
        <is>
          <t>Trục ngang inox</t>
        </is>
      </c>
      <c r="B205" s="55" t="n">
        <v>24</v>
      </c>
      <c r="C205" s="55" t="inlineStr">
        <is>
          <t>3M65-200/22</t>
        </is>
      </c>
      <c r="D205" s="55" t="inlineStr">
        <is>
          <t>F Cột áp (m)</t>
        </is>
      </c>
      <c r="E205" s="55" t="inlineStr">
        <is>
          <t>65.5 - 45</t>
        </is>
      </c>
      <c r="F205" s="55" t="inlineStr">
        <is>
          <t>66 - 45</t>
        </is>
      </c>
      <c r="G205" s="55" t="inlineStr">
        <is>
          <t>PEROTAC - Bơm trục ngang 3M.pdf, tr.5</t>
        </is>
      </c>
    </row>
    <row r="206">
      <c r="A206" s="55" t="inlineStr">
        <is>
          <t>DWO CDX</t>
        </is>
      </c>
      <c r="B206" s="55" t="n">
        <v>2</v>
      </c>
      <c r="C206" s="55" t="inlineStr">
        <is>
          <t>CDX90/10-0.75KW-380V</t>
        </is>
      </c>
      <c r="D206" s="55" t="inlineStr">
        <is>
          <t>E Lưu lượng max (m3/h)</t>
        </is>
      </c>
      <c r="E206" s="55" t="n">
        <v>9</v>
      </c>
      <c r="F206" s="55" t="n">
        <v>6.6</v>
      </c>
      <c r="G206" s="55" t="inlineStr">
        <is>
          <t>PEROTAC - Bơm trục ngang CDX.pdf, tr.2</t>
        </is>
      </c>
    </row>
    <row r="207">
      <c r="A207" s="55" t="inlineStr">
        <is>
          <t>DWO CDX</t>
        </is>
      </c>
      <c r="B207" s="55" t="n">
        <v>2</v>
      </c>
      <c r="C207" s="55" t="inlineStr">
        <is>
          <t>CDX90/10-0.75KW-380V</t>
        </is>
      </c>
      <c r="D207" s="55" t="inlineStr">
        <is>
          <t>F Cột áp max (m)</t>
        </is>
      </c>
      <c r="E207" s="55" t="n">
        <v>28</v>
      </c>
      <c r="F207" s="55" t="n">
        <v>30.3</v>
      </c>
      <c r="G207" s="55" t="inlineStr">
        <is>
          <t>PEROTAC - Bơm trục ngang CDX.pdf, tr.2</t>
        </is>
      </c>
    </row>
    <row r="208">
      <c r="A208" s="55" t="inlineStr">
        <is>
          <t>DWO CDX</t>
        </is>
      </c>
      <c r="B208" s="55" t="n">
        <v>3</v>
      </c>
      <c r="C208" s="55" t="inlineStr">
        <is>
          <t>CDXM90/10-0.75KW-220V</t>
        </is>
      </c>
      <c r="D208" s="55" t="inlineStr">
        <is>
          <t>E Lưu lượng max (m3/h)</t>
        </is>
      </c>
      <c r="E208" s="55" t="n">
        <v>9</v>
      </c>
      <c r="F208" s="55" t="n">
        <v>6.6</v>
      </c>
      <c r="G208" s="55" t="inlineStr">
        <is>
          <t>PEROTAC - Bơm trục ngang CDX.pdf, tr.2</t>
        </is>
      </c>
    </row>
    <row r="209">
      <c r="A209" s="55" t="inlineStr">
        <is>
          <t>DWO CDX</t>
        </is>
      </c>
      <c r="B209" s="55" t="n">
        <v>3</v>
      </c>
      <c r="C209" s="55" t="inlineStr">
        <is>
          <t>CDXM90/10-0.75KW-220V</t>
        </is>
      </c>
      <c r="D209" s="55" t="inlineStr">
        <is>
          <t>F Cột áp max (m)</t>
        </is>
      </c>
      <c r="E209" s="55" t="n">
        <v>24</v>
      </c>
      <c r="F209" s="55" t="n">
        <v>30.3</v>
      </c>
      <c r="G209" s="55" t="inlineStr">
        <is>
          <t>PEROTAC - Bơm trục ngang CDX.pdf, tr.2</t>
        </is>
      </c>
    </row>
    <row r="210">
      <c r="A210" s="55" t="inlineStr">
        <is>
          <t>DWO CDX</t>
        </is>
      </c>
      <c r="B210" s="55" t="n">
        <v>6</v>
      </c>
      <c r="C210" s="55" t="inlineStr">
        <is>
          <t>CDX120/20-1.5KW-380V</t>
        </is>
      </c>
      <c r="D210" s="55" t="inlineStr">
        <is>
          <t>E Lưu lượng max (m3/h)</t>
        </is>
      </c>
      <c r="E210" s="55" t="n">
        <v>11</v>
      </c>
      <c r="F210" s="55" t="n">
        <v>9.6</v>
      </c>
      <c r="G210" s="55" t="inlineStr">
        <is>
          <t>PEROTAC - Bơm trục ngang CDX.pdf, tr.2</t>
        </is>
      </c>
    </row>
    <row r="211">
      <c r="A211" s="55" t="inlineStr">
        <is>
          <t>DWO CDX</t>
        </is>
      </c>
      <c r="B211" s="55" t="n">
        <v>6</v>
      </c>
      <c r="C211" s="55" t="inlineStr">
        <is>
          <t>CDX120/20-1.5KW-380V</t>
        </is>
      </c>
      <c r="D211" s="55" t="inlineStr">
        <is>
          <t>F Cột áp max (m)</t>
        </is>
      </c>
      <c r="E211" s="55" t="n">
        <v>32</v>
      </c>
      <c r="F211" s="55" t="n">
        <v>37.5</v>
      </c>
      <c r="G211" s="55" t="inlineStr">
        <is>
          <t>PEROTAC - Bơm trục ngang CDX.pdf, tr.2</t>
        </is>
      </c>
    </row>
    <row r="212">
      <c r="A212" s="55" t="inlineStr">
        <is>
          <t>DWO CDX</t>
        </is>
      </c>
      <c r="B212" s="55" t="n">
        <v>7</v>
      </c>
      <c r="C212" s="55" t="inlineStr">
        <is>
          <t>CDXM120/20-1.5KW-220V</t>
        </is>
      </c>
      <c r="D212" s="55" t="inlineStr">
        <is>
          <t>E Lưu lượng max (m3/h)</t>
        </is>
      </c>
      <c r="E212" s="55" t="n">
        <v>11</v>
      </c>
      <c r="F212" s="55" t="n">
        <v>9.6</v>
      </c>
      <c r="G212" s="55" t="inlineStr">
        <is>
          <t>PEROTAC - Bơm trục ngang CDX.pdf, tr.2</t>
        </is>
      </c>
    </row>
    <row r="213">
      <c r="A213" s="55" t="inlineStr">
        <is>
          <t>DWO CDX</t>
        </is>
      </c>
      <c r="B213" s="55" t="n">
        <v>7</v>
      </c>
      <c r="C213" s="55" t="inlineStr">
        <is>
          <t>CDXM120/20-1.5KW-220V</t>
        </is>
      </c>
      <c r="D213" s="55" t="inlineStr">
        <is>
          <t>F Cột áp max (m)</t>
        </is>
      </c>
      <c r="E213" s="55" t="n">
        <v>32</v>
      </c>
      <c r="F213" s="55" t="n">
        <v>37.5</v>
      </c>
      <c r="G213" s="55" t="inlineStr">
        <is>
          <t>PEROTAC - Bơm trục ngang CDX.pdf, tr.2</t>
        </is>
      </c>
    </row>
    <row r="214">
      <c r="A214" s="55" t="inlineStr">
        <is>
          <t>DWO CDX</t>
        </is>
      </c>
      <c r="B214" s="55" t="n">
        <v>16</v>
      </c>
      <c r="C214" s="55" t="inlineStr">
        <is>
          <t>2CDXM120/15-1.1KW-220V/380V</t>
        </is>
      </c>
      <c r="D214" s="55" t="inlineStr">
        <is>
          <t>E Lưu lượng max (m3/h)</t>
        </is>
      </c>
      <c r="E214" s="55" t="n">
        <v>11</v>
      </c>
      <c r="F214" s="55" t="n">
        <v>9</v>
      </c>
      <c r="G214" s="55" t="inlineStr">
        <is>
          <t>PEROTAC - Bơm trục ngang 2CDX.pdf, tr.1</t>
        </is>
      </c>
    </row>
    <row r="215">
      <c r="A215" s="55" t="inlineStr">
        <is>
          <t>DWO CDX</t>
        </is>
      </c>
      <c r="B215" s="55" t="n">
        <v>16</v>
      </c>
      <c r="C215" s="55" t="inlineStr">
        <is>
          <t>2CDXM120/15-1.1KW-220V/380V</t>
        </is>
      </c>
      <c r="D215" s="55" t="inlineStr">
        <is>
          <t>F Cột áp max (m)</t>
        </is>
      </c>
      <c r="E215" s="55" t="n">
        <v>43</v>
      </c>
      <c r="F215" s="55" t="n">
        <v>42</v>
      </c>
      <c r="G215" s="55" t="inlineStr">
        <is>
          <t>PEROTAC - Bơm trục ngang 2CDX.pdf, tr.1</t>
        </is>
      </c>
    </row>
    <row r="216">
      <c r="A216" s="55" t="inlineStr">
        <is>
          <t>DWO CDX</t>
        </is>
      </c>
      <c r="B216" s="55" t="n">
        <v>17</v>
      </c>
      <c r="C216" s="55" t="inlineStr">
        <is>
          <t>2CDXM120/20-1.5KW-220V/380V</t>
        </is>
      </c>
      <c r="D216" s="55" t="inlineStr">
        <is>
          <t>E Lưu lượng max (m3/h)</t>
        </is>
      </c>
      <c r="E216" s="55" t="n">
        <v>13</v>
      </c>
      <c r="F216" s="55" t="n">
        <v>9</v>
      </c>
      <c r="G216" s="55" t="inlineStr">
        <is>
          <t>PEROTAC - Bơm trục ngang 2CDX.pdf, tr.1</t>
        </is>
      </c>
    </row>
    <row r="217">
      <c r="A217" s="55" t="inlineStr">
        <is>
          <t>DWO CDX</t>
        </is>
      </c>
      <c r="B217" s="55" t="n">
        <v>17</v>
      </c>
      <c r="C217" s="55" t="inlineStr">
        <is>
          <t>2CDXM120/20-1.5KW-220V/380V</t>
        </is>
      </c>
      <c r="D217" s="55" t="inlineStr">
        <is>
          <t>F Cột áp max (m)</t>
        </is>
      </c>
      <c r="E217" s="55" t="n">
        <v>54</v>
      </c>
      <c r="F217" s="55" t="n">
        <v>51.5</v>
      </c>
      <c r="G217" s="55" t="inlineStr">
        <is>
          <t>PEROTAC - Bơm trục ngang 2CDX.pdf, tr.1</t>
        </is>
      </c>
    </row>
    <row r="218">
      <c r="A218" s="55" t="inlineStr">
        <is>
          <t>DWO CDX</t>
        </is>
      </c>
      <c r="B218" s="55" t="n">
        <v>22</v>
      </c>
      <c r="C218" s="55" t="inlineStr">
        <is>
          <t>2CDX200/30-2.2KW-380V</t>
        </is>
      </c>
      <c r="D218" s="55" t="inlineStr">
        <is>
          <t>E Lưu lượng max (m3/h)</t>
        </is>
      </c>
      <c r="E218" s="55" t="n">
        <v>15</v>
      </c>
      <c r="F218" s="55" t="n">
        <v>12.6</v>
      </c>
      <c r="G218" s="55" t="inlineStr">
        <is>
          <t>PEROTAC - Bơm trục ngang 2CDX.pdf, tr.1</t>
        </is>
      </c>
    </row>
    <row r="219">
      <c r="A219" s="55" t="inlineStr">
        <is>
          <t>DWO CDX</t>
        </is>
      </c>
      <c r="B219" s="55" t="n">
        <v>22</v>
      </c>
      <c r="C219" s="55" t="inlineStr">
        <is>
          <t>2CDX200/30-2.2KW-380V</t>
        </is>
      </c>
      <c r="D219" s="55" t="inlineStr">
        <is>
          <t>F Cột áp max (m)</t>
        </is>
      </c>
      <c r="E219" s="55" t="n">
        <v>55</v>
      </c>
      <c r="F219" s="55" t="n">
        <v>52</v>
      </c>
      <c r="G219" s="55" t="inlineStr">
        <is>
          <t>PEROTAC - Bơm trục ngang 2CDX.pdf, tr.1</t>
        </is>
      </c>
    </row>
    <row r="220">
      <c r="A220" s="55" t="inlineStr">
        <is>
          <t>DWO CDX</t>
        </is>
      </c>
      <c r="B220" s="55" t="n">
        <v>28</v>
      </c>
      <c r="C220" s="55" t="inlineStr">
        <is>
          <t>DWO150M-1.1KW-220V</t>
        </is>
      </c>
      <c r="D220" s="55" t="inlineStr">
        <is>
          <t>F Cột áp max (m)</t>
        </is>
      </c>
      <c r="E220" s="55" t="n">
        <v>15</v>
      </c>
      <c r="F220" s="55" t="n">
        <v>9.5</v>
      </c>
      <c r="G220" s="55" t="inlineStr">
        <is>
          <t>PEROTAC - Bơm trục ngang DWO (bản 2 trang).pdf, tr.1</t>
        </is>
      </c>
    </row>
    <row r="221">
      <c r="A221" s="55" t="inlineStr">
        <is>
          <t>DWO CDX</t>
        </is>
      </c>
      <c r="B221" s="55" t="n">
        <v>29</v>
      </c>
      <c r="C221" s="55" t="inlineStr">
        <is>
          <t>DWO200M-1.5KW-220V</t>
        </is>
      </c>
      <c r="D221" s="55" t="inlineStr">
        <is>
          <t>E Lưu lượng max (m3/h)</t>
        </is>
      </c>
      <c r="E221" s="55" t="n">
        <v>42</v>
      </c>
      <c r="F221" s="55" t="n">
        <v>45</v>
      </c>
      <c r="G221" s="55" t="inlineStr">
        <is>
          <t>PEROTAC - Bơm trục ngang DWO (bản 2 trang).pdf, tr.1</t>
        </is>
      </c>
    </row>
    <row r="222">
      <c r="A222" s="55" t="inlineStr">
        <is>
          <t>DWO CDX</t>
        </is>
      </c>
      <c r="B222" s="55" t="n">
        <v>29</v>
      </c>
      <c r="C222" s="55" t="inlineStr">
        <is>
          <t>DWO200M-1.5KW-220V</t>
        </is>
      </c>
      <c r="D222" s="55" t="inlineStr">
        <is>
          <t>F Cột áp max (m)</t>
        </is>
      </c>
      <c r="E222" s="55" t="n">
        <v>18</v>
      </c>
      <c r="F222" s="55" t="n">
        <v>12.7</v>
      </c>
      <c r="G222" s="55" t="inlineStr">
        <is>
          <t>PEROTAC - Bơm trục ngang DWO (bản 2 trang).pdf, tr.1</t>
        </is>
      </c>
    </row>
    <row r="223">
      <c r="A223" s="55" t="inlineStr">
        <is>
          <t>DWO CDX</t>
        </is>
      </c>
      <c r="B223" s="55" t="n">
        <v>30</v>
      </c>
      <c r="C223" s="55" t="inlineStr">
        <is>
          <t>DWO300M-2.2KW-220V</t>
        </is>
      </c>
      <c r="D223" s="55" t="inlineStr">
        <is>
          <t>F Cột áp max (m)</t>
        </is>
      </c>
      <c r="E223" s="55" t="n">
        <v>21</v>
      </c>
      <c r="F223" s="55" t="n">
        <v>15</v>
      </c>
      <c r="G223" s="55" t="inlineStr">
        <is>
          <t>PEROTAC - Bơm trục ngang DWO (bản 2 trang).pdf, tr.1</t>
        </is>
      </c>
    </row>
    <row r="224">
      <c r="A224" s="55" t="inlineStr">
        <is>
          <t>DWO CDX</t>
        </is>
      </c>
      <c r="B224" s="55" t="n">
        <v>33</v>
      </c>
      <c r="C224" s="55" t="inlineStr">
        <is>
          <t>DWO150T-1.1KW-380V</t>
        </is>
      </c>
      <c r="D224" s="55" t="inlineStr">
        <is>
          <t>E Lưu lượng max (m3/h)</t>
        </is>
      </c>
      <c r="E224" s="55" t="n">
        <v>15</v>
      </c>
      <c r="F224" s="55" t="n">
        <v>33</v>
      </c>
      <c r="G224" s="55" t="inlineStr">
        <is>
          <t>PEROTAC - Bơm trục ngang DWO (bản 2 trang).pdf, tr.1</t>
        </is>
      </c>
    </row>
    <row r="225">
      <c r="A225" s="55" t="inlineStr">
        <is>
          <t>DWO CDX</t>
        </is>
      </c>
      <c r="B225" s="55" t="n">
        <v>33</v>
      </c>
      <c r="C225" s="55" t="inlineStr">
        <is>
          <t>DWO150T-1.1KW-380V</t>
        </is>
      </c>
      <c r="D225" s="55" t="inlineStr">
        <is>
          <t>F Cột áp max (m)</t>
        </is>
      </c>
      <c r="E225" s="55" t="n">
        <v>33</v>
      </c>
      <c r="F225" s="55" t="n">
        <v>9.5</v>
      </c>
      <c r="G225" s="55" t="inlineStr">
        <is>
          <t>PEROTAC - Bơm trục ngang DWO (bản 2 trang).pdf, tr.1</t>
        </is>
      </c>
    </row>
    <row r="226">
      <c r="A226" s="55" t="inlineStr">
        <is>
          <t>DWO CDX</t>
        </is>
      </c>
      <c r="B226" s="55" t="n">
        <v>34</v>
      </c>
      <c r="C226" s="55" t="inlineStr">
        <is>
          <t>DWO200T-1.5KW-380V</t>
        </is>
      </c>
      <c r="D226" s="55" t="inlineStr">
        <is>
          <t>E Lưu lượng max (m3/h)</t>
        </is>
      </c>
      <c r="E226" s="55" t="n">
        <v>42</v>
      </c>
      <c r="F226" s="55" t="n">
        <v>45</v>
      </c>
      <c r="G226" s="55" t="inlineStr">
        <is>
          <t>PEROTAC - Bơm trục ngang DWO (bản 2 trang).pdf, tr.1</t>
        </is>
      </c>
    </row>
    <row r="227">
      <c r="A227" s="55" t="inlineStr">
        <is>
          <t>DWO CDX</t>
        </is>
      </c>
      <c r="B227" s="55" t="n">
        <v>34</v>
      </c>
      <c r="C227" s="55" t="inlineStr">
        <is>
          <t>DWO200T-1.5KW-380V</t>
        </is>
      </c>
      <c r="D227" s="55" t="inlineStr">
        <is>
          <t>F Cột áp max (m)</t>
        </is>
      </c>
      <c r="E227" s="55" t="n">
        <v>18</v>
      </c>
      <c r="F227" s="55" t="n">
        <v>12.7</v>
      </c>
      <c r="G227" s="55" t="inlineStr">
        <is>
          <t>PEROTAC - Bơm trục ngang DWO (bản 2 trang).pdf, tr.1</t>
        </is>
      </c>
    </row>
    <row r="228">
      <c r="A228" s="55" t="inlineStr">
        <is>
          <t>DWO CDX</t>
        </is>
      </c>
      <c r="B228" s="55" t="n">
        <v>35</v>
      </c>
      <c r="C228" s="55" t="inlineStr">
        <is>
          <t>DWO300T-2.2KW-380V</t>
        </is>
      </c>
      <c r="D228" s="55" t="inlineStr">
        <is>
          <t>F Cột áp max (m)</t>
        </is>
      </c>
      <c r="E228" s="55" t="n">
        <v>21</v>
      </c>
      <c r="F228" s="55" t="n">
        <v>15</v>
      </c>
      <c r="G228" s="55" t="inlineStr">
        <is>
          <t>PEROTAC - Bơm trục ngang DWO (bản 2 trang).pdf, tr.1</t>
        </is>
      </c>
    </row>
    <row r="229">
      <c r="A229" s="55" t="inlineStr">
        <is>
          <t>DWO CDX</t>
        </is>
      </c>
      <c r="B229" s="55" t="n">
        <v>36</v>
      </c>
      <c r="C229" s="55" t="inlineStr">
        <is>
          <t>DWO400T-3.0KW-380V</t>
        </is>
      </c>
      <c r="D229" s="55" t="inlineStr">
        <is>
          <t>E Lưu lượng max (m3/h)</t>
        </is>
      </c>
      <c r="E229" s="55" t="n">
        <v>60</v>
      </c>
      <c r="F229" s="55" t="n">
        <v>66</v>
      </c>
      <c r="G229" s="55" t="inlineStr">
        <is>
          <t>PEROTAC - Bơm trục ngang DWO (bản 2 trang).pdf, tr.1</t>
        </is>
      </c>
    </row>
    <row r="230">
      <c r="A230" s="55" t="inlineStr">
        <is>
          <t>DWO CDX</t>
        </is>
      </c>
      <c r="B230" s="55" t="n">
        <v>36</v>
      </c>
      <c r="C230" s="55" t="inlineStr">
        <is>
          <t>DWO400T-3.0KW-380V</t>
        </is>
      </c>
      <c r="D230" s="55" t="inlineStr">
        <is>
          <t>F Cột áp max (m)</t>
        </is>
      </c>
      <c r="E230" s="55" t="n">
        <v>24</v>
      </c>
      <c r="F230" s="55" t="n">
        <v>17.5</v>
      </c>
      <c r="G230" s="55" t="inlineStr">
        <is>
          <t>PEROTAC - Bơm trục ngang DWO (bản 2 trang).pdf, tr.1</t>
        </is>
      </c>
    </row>
    <row r="231">
      <c r="A231" s="55" t="inlineStr">
        <is>
          <t>KTZ</t>
        </is>
      </c>
      <c r="B231" s="55" t="n">
        <v>1</v>
      </c>
      <c r="C231" s="55" t="inlineStr">
        <is>
          <t>(tiêu đề cột)</t>
        </is>
      </c>
      <c r="D231" s="55" t="inlineStr">
        <is>
          <t>E</t>
        </is>
      </c>
      <c r="E231" s="55" t="inlineStr">
        <is>
          <t>Lưu lượng (m3/h)</t>
        </is>
      </c>
      <c r="F231" s="55" t="inlineStr">
        <is>
          <t>Lưu lượng max (m3/h)</t>
        </is>
      </c>
      <c r="G231" s="55" t="inlineStr">
        <is>
          <t>Ghi rõ nghĩa cột theo catalogue</t>
        </is>
      </c>
    </row>
    <row r="232">
      <c r="A232" s="55" t="inlineStr">
        <is>
          <t>KTZ</t>
        </is>
      </c>
      <c r="B232" s="55" t="n">
        <v>1</v>
      </c>
      <c r="C232" s="55" t="inlineStr">
        <is>
          <t>(tiêu đề cột)</t>
        </is>
      </c>
      <c r="D232" s="55" t="inlineStr">
        <is>
          <t>F</t>
        </is>
      </c>
      <c r="E232" s="55" t="inlineStr">
        <is>
          <t>Cột áp (m)</t>
        </is>
      </c>
      <c r="F232" s="55" t="inlineStr">
        <is>
          <t>Cột áp max (m)</t>
        </is>
      </c>
      <c r="G232" s="55" t="inlineStr">
        <is>
          <t>Ghi rõ nghĩa cột theo catalogue</t>
        </is>
      </c>
    </row>
    <row r="233">
      <c r="A233" s="55" t="inlineStr">
        <is>
          <t>KTZ</t>
        </is>
      </c>
      <c r="B233" s="55" t="n">
        <v>14</v>
      </c>
      <c r="C233" s="55" t="inlineStr">
        <is>
          <t>LH422-22KW-380V</t>
        </is>
      </c>
      <c r="D233" s="55" t="inlineStr">
        <is>
          <t>E Lưu lượng max (m3/h)</t>
        </is>
      </c>
      <c r="E233" s="55" t="n">
        <v>138</v>
      </c>
      <c r="F233" s="55" t="n">
        <v>130</v>
      </c>
      <c r="G233" s="55" t="inlineStr">
        <is>
          <t>PEROTAC - Bơm chìm nước thải KTZ-LH.pdf, tr.5</t>
        </is>
      </c>
    </row>
    <row r="234">
      <c r="A234" s="55" t="inlineStr">
        <is>
          <t>KTZ</t>
        </is>
      </c>
      <c r="B234" s="55" t="n">
        <v>15</v>
      </c>
      <c r="C234" s="55" t="inlineStr">
        <is>
          <t>LH622-22KW-380V</t>
        </is>
      </c>
      <c r="D234" s="55" t="inlineStr">
        <is>
          <t>E Lưu lượng max (m3/h)</t>
        </is>
      </c>
      <c r="E234" s="55" t="n">
        <v>210</v>
      </c>
      <c r="F234" s="55" t="n">
        <v>200</v>
      </c>
      <c r="G234" s="55" t="inlineStr">
        <is>
          <t>PEROTAC - Bơm chìm nước thải KTZ-LH.pdf, tr.5</t>
        </is>
      </c>
    </row>
    <row r="235">
      <c r="A235" s="55" t="inlineStr">
        <is>
          <t>KTZ</t>
        </is>
      </c>
      <c r="B235" s="55" t="n">
        <v>15</v>
      </c>
      <c r="C235" s="55" t="inlineStr">
        <is>
          <t>LH622-22KW-380V</t>
        </is>
      </c>
      <c r="D235" s="55" t="inlineStr">
        <is>
          <t>F Cột áp max (m)</t>
        </is>
      </c>
      <c r="E235" s="55" t="n">
        <v>52</v>
      </c>
      <c r="F235" s="55" t="n">
        <v>50</v>
      </c>
      <c r="G235" s="55" t="inlineStr">
        <is>
          <t>PEROTAC - Bơm chìm nước thải KTZ-LH.pdf, tr.5</t>
        </is>
      </c>
    </row>
    <row r="236">
      <c r="A236" s="55" t="inlineStr">
        <is>
          <t>KTZ</t>
        </is>
      </c>
      <c r="B236" s="55" t="n">
        <v>16</v>
      </c>
      <c r="C236" s="55" t="inlineStr">
        <is>
          <t>LH430-30KW-380V</t>
        </is>
      </c>
      <c r="D236" s="55" t="inlineStr">
        <is>
          <t>F Cột áp max (m)</t>
        </is>
      </c>
      <c r="E236" s="55" t="n">
        <v>82</v>
      </c>
      <c r="F236" s="55" t="n">
        <v>78</v>
      </c>
      <c r="G236" s="55" t="inlineStr">
        <is>
          <t>PEROTAC - Bơm chìm nước thải KTZ-LH.pdf, tr.5</t>
        </is>
      </c>
    </row>
    <row r="237">
      <c r="A237" s="55" t="inlineStr">
        <is>
          <t>KTZ</t>
        </is>
      </c>
      <c r="B237" s="55" t="n">
        <v>17</v>
      </c>
      <c r="C237" s="55" t="inlineStr">
        <is>
          <t>LH630-30KW-380V</t>
        </is>
      </c>
      <c r="D237" s="55" t="inlineStr">
        <is>
          <t>F Cột áp max (m)</t>
        </is>
      </c>
      <c r="E237" s="55" t="n">
        <v>64</v>
      </c>
      <c r="F237" s="55" t="n">
        <v>58</v>
      </c>
      <c r="G237" s="55" t="inlineStr">
        <is>
          <t>PEROTAC - Bơm chìm nước thải KTZ-LH.pdf, tr.5</t>
        </is>
      </c>
    </row>
    <row r="238">
      <c r="A238" s="55" t="inlineStr">
        <is>
          <t>Khuấy</t>
        </is>
      </c>
      <c r="B238" s="55" t="n">
        <v>3</v>
      </c>
      <c r="C238" s="55" t="inlineStr">
        <is>
          <t>MIX-0.75</t>
        </is>
      </c>
      <c r="D238" s="55" t="inlineStr">
        <is>
          <t>D Lưu lượng (m3/min)</t>
        </is>
      </c>
      <c r="E238" s="55" t="n">
        <v>3.6</v>
      </c>
      <c r="F238" s="55" t="n">
        <v>3.2</v>
      </c>
      <c r="G238" s="55" t="inlineStr">
        <is>
          <t>PEROTAC - Máy khuấy chìm MIX.pdf, tr.1</t>
        </is>
      </c>
    </row>
    <row r="239">
      <c r="A239" s="55" t="inlineStr">
        <is>
          <t>Khuấy</t>
        </is>
      </c>
      <c r="B239" s="55" t="n">
        <v>4</v>
      </c>
      <c r="C239" s="55" t="inlineStr">
        <is>
          <t>MIX-1.1</t>
        </is>
      </c>
      <c r="D239" s="55" t="inlineStr">
        <is>
          <t>D Lưu lượng (m3/min)</t>
        </is>
      </c>
      <c r="E239" s="55" t="n">
        <v>4.2</v>
      </c>
      <c r="F239" s="55" t="n">
        <v>4</v>
      </c>
      <c r="G239" s="55" t="inlineStr">
        <is>
          <t>PEROTAC - Máy khuấy chìm MIX.pdf, tr.1</t>
        </is>
      </c>
    </row>
    <row r="240">
      <c r="A240" s="55" t="inlineStr">
        <is>
          <t>Khuấy</t>
        </is>
      </c>
      <c r="B240" s="55" t="n">
        <v>6</v>
      </c>
      <c r="C240" s="55" t="inlineStr">
        <is>
          <t>MIX-2.2</t>
        </is>
      </c>
      <c r="D240" s="55" t="inlineStr">
        <is>
          <t>D Lưu lượng (m3/min)</t>
        </is>
      </c>
      <c r="E240" s="55" t="n">
        <v>6</v>
      </c>
      <c r="F240" s="55" t="n">
        <v>6.8</v>
      </c>
      <c r="G240" s="55" t="inlineStr">
        <is>
          <t>PEROTAC - Máy khuấy chìm MIX.pdf, tr.1</t>
        </is>
      </c>
    </row>
    <row r="241">
      <c r="A241" s="55" t="inlineStr">
        <is>
          <t>Khuấy</t>
        </is>
      </c>
      <c r="B241" s="55" t="n">
        <v>8</v>
      </c>
      <c r="C241" s="55" t="inlineStr">
        <is>
          <t>4MIX-0.75</t>
        </is>
      </c>
      <c r="D241" s="55" t="inlineStr">
        <is>
          <t>D Lưu lượng (m3/min)</t>
        </is>
      </c>
      <c r="E241" s="55" t="n">
        <v>3.6</v>
      </c>
      <c r="F241" s="55" t="n">
        <v>3.2</v>
      </c>
      <c r="G241" s="55" t="inlineStr">
        <is>
          <t>PEROTAC - Máy khuấy chìm 4MIX.pdf, tr.1</t>
        </is>
      </c>
    </row>
    <row r="242">
      <c r="A242" s="55" t="inlineStr">
        <is>
          <t>Khuấy</t>
        </is>
      </c>
      <c r="B242" s="55" t="n">
        <v>9</v>
      </c>
      <c r="C242" s="55" t="inlineStr">
        <is>
          <t>4MIX-1.1</t>
        </is>
      </c>
      <c r="D242" s="55" t="inlineStr">
        <is>
          <t>D Lưu lượng (m3/min)</t>
        </is>
      </c>
      <c r="E242" s="55" t="n">
        <v>4.2</v>
      </c>
      <c r="F242" s="55" t="n">
        <v>4</v>
      </c>
      <c r="G242" s="55" t="inlineStr">
        <is>
          <t>PEROTAC - Máy khuấy chìm 4MIX.pdf, tr.1</t>
        </is>
      </c>
    </row>
    <row r="243">
      <c r="A243" s="55" t="inlineStr">
        <is>
          <t>Khuấy</t>
        </is>
      </c>
      <c r="B243" s="55" t="n">
        <v>11</v>
      </c>
      <c r="C243" s="55" t="inlineStr">
        <is>
          <t>4MIX-2.2</t>
        </is>
      </c>
      <c r="D243" s="55" t="inlineStr">
        <is>
          <t>D Lưu lượng (m3/min)</t>
        </is>
      </c>
      <c r="E243" s="55" t="n">
        <v>6</v>
      </c>
      <c r="F243" s="55" t="n">
        <v>6.8</v>
      </c>
      <c r="G243" s="55" t="inlineStr">
        <is>
          <t>PEROTAC - Máy khuấy chìm 4MIX.pdf, tr.1</t>
        </is>
      </c>
    </row>
    <row r="244">
      <c r="A244" s="55" t="inlineStr">
        <is>
          <t>Định lượng</t>
        </is>
      </c>
      <c r="B244" s="55" t="n">
        <v>1</v>
      </c>
      <c r="C244" s="55" t="inlineStr">
        <is>
          <t>(tiêu đề cột)</t>
        </is>
      </c>
      <c r="D244" s="55" t="inlineStr">
        <is>
          <t>C</t>
        </is>
      </c>
      <c r="E244" s="55" t="inlineStr">
        <is>
          <t>Công suất (kW)</t>
        </is>
      </c>
      <c r="F244" s="55" t="inlineStr">
        <is>
          <t>Công suất (W)</t>
        </is>
      </c>
      <c r="G244" s="55" t="inlineStr">
        <is>
          <t>Ghi rõ nghĩa cột theo catalogue</t>
        </is>
      </c>
    </row>
    <row r="245">
      <c r="A245" s="55" t="inlineStr">
        <is>
          <t>Định lượng</t>
        </is>
      </c>
      <c r="B245" s="55" t="n">
        <v>10</v>
      </c>
      <c r="C245" s="55" t="inlineStr">
        <is>
          <t>JBB201/7</t>
        </is>
      </c>
      <c r="D245" s="55" t="inlineStr">
        <is>
          <t>C Công suất (W)</t>
        </is>
      </c>
      <c r="E245" s="55" t="n">
        <v>250</v>
      </c>
      <c r="F245" s="55" t="n">
        <v>370</v>
      </c>
      <c r="G245" s="55" t="inlineStr">
        <is>
          <t>AQUARIS - Bơm định lượng JLM-JBB.pdf, tr.4</t>
        </is>
      </c>
    </row>
    <row r="246">
      <c r="A246" s="55" t="inlineStr">
        <is>
          <t>Định lượng</t>
        </is>
      </c>
      <c r="B246" s="55" t="n">
        <v>11</v>
      </c>
      <c r="C246" s="55" t="inlineStr">
        <is>
          <t>JBB321/6</t>
        </is>
      </c>
      <c r="D246" s="55" t="inlineStr">
        <is>
          <t>C Công suất (W)</t>
        </is>
      </c>
      <c r="E246" s="55" t="n">
        <v>250</v>
      </c>
      <c r="F246" s="55" t="n">
        <v>370</v>
      </c>
      <c r="G246" s="55" t="inlineStr">
        <is>
          <t>AQUARIS - Bơm định lượng JLM-JBB.pdf, tr.4</t>
        </is>
      </c>
    </row>
    <row r="247">
      <c r="A247" s="55" t="inlineStr">
        <is>
          <t>Định lượng</t>
        </is>
      </c>
      <c r="B247" s="55" t="n">
        <v>12</v>
      </c>
      <c r="C247" s="55" t="inlineStr">
        <is>
          <t>JBB421/6</t>
        </is>
      </c>
      <c r="D247" s="55" t="inlineStr">
        <is>
          <t>C Công suất (W)</t>
        </is>
      </c>
      <c r="E247" s="55" t="n">
        <v>250</v>
      </c>
      <c r="F247" s="55" t="n">
        <v>370</v>
      </c>
      <c r="G247" s="55" t="inlineStr">
        <is>
          <t>AQUARIS - Bơm định lượng JLM-JBB.pdf, tr.4</t>
        </is>
      </c>
    </row>
    <row r="248">
      <c r="A248" s="55" t="inlineStr">
        <is>
          <t>Định lượng</t>
        </is>
      </c>
      <c r="B248" s="55" t="n">
        <v>12</v>
      </c>
      <c r="C248" s="55" t="inlineStr">
        <is>
          <t>JBB421/6</t>
        </is>
      </c>
      <c r="D248" s="55" t="inlineStr">
        <is>
          <t>E Cột áp (Bar)</t>
        </is>
      </c>
      <c r="E248" s="55" t="n">
        <v>5</v>
      </c>
      <c r="F248" s="55" t="n">
        <v>6</v>
      </c>
      <c r="G248" s="55" t="inlineStr">
        <is>
          <t>AQUARIS - Bơm định lượng JLM-JBB.pdf, tr.4</t>
        </is>
      </c>
    </row>
    <row r="249">
      <c r="A249" s="55" t="inlineStr">
        <is>
          <t>DWO CDX</t>
        </is>
      </c>
      <c r="B249" s="55" t="n">
        <v>8</v>
      </c>
      <c r="C249" s="55" t="inlineStr">
        <is>
          <t>2CDX70/10-0.75KW-380V</t>
        </is>
      </c>
      <c r="D249" s="55" t="inlineStr">
        <is>
          <t>(cả dòng)</t>
        </is>
      </c>
      <c r="E249" s="55" t="inlineStr"/>
      <c r="F249" s="55" t="inlineStr">
        <is>
          <t>Dòng MỚI thêm</t>
        </is>
      </c>
      <c r="G249" s="55" t="inlineStr">
        <is>
          <t>catalogue đã duyệt</t>
        </is>
      </c>
    </row>
    <row r="250">
      <c r="A250" s="55" t="inlineStr">
        <is>
          <t>DWO CDX</t>
        </is>
      </c>
      <c r="B250" s="55" t="n">
        <v>9</v>
      </c>
      <c r="C250" s="55" t="inlineStr">
        <is>
          <t>2CDXM70/10-0.75KW-220V</t>
        </is>
      </c>
      <c r="D250" s="55" t="inlineStr">
        <is>
          <t>(cả dòng)</t>
        </is>
      </c>
      <c r="E250" s="55" t="inlineStr"/>
      <c r="F250" s="55" t="inlineStr">
        <is>
          <t>Dòng MỚI thêm</t>
        </is>
      </c>
      <c r="G250" s="55" t="inlineStr">
        <is>
          <t>catalogue đã duyệt</t>
        </is>
      </c>
    </row>
    <row r="251">
      <c r="A251" s="55" t="inlineStr">
        <is>
          <t>DWO CDX</t>
        </is>
      </c>
      <c r="B251" s="55" t="n">
        <v>10</v>
      </c>
      <c r="C251" s="55" t="inlineStr">
        <is>
          <t>2CDX70/12-0.9KW-380V</t>
        </is>
      </c>
      <c r="D251" s="55" t="inlineStr">
        <is>
          <t>(cả dòng)</t>
        </is>
      </c>
      <c r="E251" s="55" t="inlineStr"/>
      <c r="F251" s="55" t="inlineStr">
        <is>
          <t>Dòng MỚI thêm</t>
        </is>
      </c>
      <c r="G251" s="55" t="inlineStr">
        <is>
          <t>catalogue đã duyệt</t>
        </is>
      </c>
    </row>
    <row r="252">
      <c r="A252" s="55" t="inlineStr">
        <is>
          <t>DWO CDX</t>
        </is>
      </c>
      <c r="B252" s="55" t="n">
        <v>11</v>
      </c>
      <c r="C252" s="55" t="inlineStr">
        <is>
          <t>2CDXM70/12-0.9KW-220V</t>
        </is>
      </c>
      <c r="D252" s="55" t="inlineStr">
        <is>
          <t>(cả dòng)</t>
        </is>
      </c>
      <c r="E252" s="55" t="inlineStr"/>
      <c r="F252" s="55" t="inlineStr">
        <is>
          <t>Dòng MỚI thêm</t>
        </is>
      </c>
      <c r="G252" s="55" t="inlineStr">
        <is>
          <t>catalogue đã duyệt</t>
        </is>
      </c>
    </row>
    <row r="253">
      <c r="A253" s="55" t="inlineStr">
        <is>
          <t>DWO CDX</t>
        </is>
      </c>
      <c r="B253" s="55" t="n">
        <v>12</v>
      </c>
      <c r="C253" s="55" t="inlineStr">
        <is>
          <t>2CDX70/15-1.1KW-380V</t>
        </is>
      </c>
      <c r="D253" s="55" t="inlineStr">
        <is>
          <t>(cả dòng)</t>
        </is>
      </c>
      <c r="E253" s="55" t="inlineStr"/>
      <c r="F253" s="55" t="inlineStr">
        <is>
          <t>Dòng MỚI thêm</t>
        </is>
      </c>
      <c r="G253" s="55" t="inlineStr">
        <is>
          <t>catalogue đã duyệt</t>
        </is>
      </c>
    </row>
    <row r="254">
      <c r="A254" s="55" t="inlineStr">
        <is>
          <t>DWO CDX</t>
        </is>
      </c>
      <c r="B254" s="55" t="n">
        <v>13</v>
      </c>
      <c r="C254" s="55" t="inlineStr">
        <is>
          <t>2CDXM70/15-1.1KW-220V</t>
        </is>
      </c>
      <c r="D254" s="55" t="inlineStr">
        <is>
          <t>(cả dòng)</t>
        </is>
      </c>
      <c r="E254" s="55" t="inlineStr"/>
      <c r="F254" s="55" t="inlineStr">
        <is>
          <t>Dòng MỚI thêm</t>
        </is>
      </c>
      <c r="G254" s="55" t="inlineStr">
        <is>
          <t>catalogue đã duyệt</t>
        </is>
      </c>
    </row>
    <row r="255">
      <c r="A255" s="55" t="inlineStr">
        <is>
          <t>DWO CDX</t>
        </is>
      </c>
      <c r="B255" s="55" t="n">
        <v>14</v>
      </c>
      <c r="C255" s="55" t="inlineStr">
        <is>
          <t>2CDX70/20-1.5KW-380V</t>
        </is>
      </c>
      <c r="D255" s="55" t="inlineStr">
        <is>
          <t>(cả dòng)</t>
        </is>
      </c>
      <c r="E255" s="55" t="inlineStr"/>
      <c r="F255" s="55" t="inlineStr">
        <is>
          <t>Dòng MỚI thêm</t>
        </is>
      </c>
      <c r="G255" s="55" t="inlineStr">
        <is>
          <t>catalogue đã duyệt</t>
        </is>
      </c>
    </row>
    <row r="256">
      <c r="A256" s="55" t="inlineStr">
        <is>
          <t>DWO CDX</t>
        </is>
      </c>
      <c r="B256" s="55" t="n">
        <v>15</v>
      </c>
      <c r="C256" s="55" t="inlineStr">
        <is>
          <t>2CDXM70/20-1.5KW-220V</t>
        </is>
      </c>
      <c r="D256" s="55" t="inlineStr">
        <is>
          <t>(cả dòng)</t>
        </is>
      </c>
      <c r="E256" s="55" t="inlineStr"/>
      <c r="F256" s="55" t="inlineStr">
        <is>
          <t>Dòng MỚI thêm</t>
        </is>
      </c>
      <c r="G256" s="55" t="inlineStr">
        <is>
          <t>catalogue đã duyệt</t>
        </is>
      </c>
    </row>
    <row r="257">
      <c r="A257" s="55" t="inlineStr">
        <is>
          <t>DWO CDX</t>
        </is>
      </c>
      <c r="B257" s="55" t="n">
        <v>18</v>
      </c>
      <c r="C257" s="55" t="inlineStr">
        <is>
          <t>2CDX120/30-2.2KW-380V</t>
        </is>
      </c>
      <c r="D257" s="55" t="inlineStr">
        <is>
          <t>(cả dòng)</t>
        </is>
      </c>
      <c r="E257" s="55" t="inlineStr"/>
      <c r="F257" s="55" t="inlineStr">
        <is>
          <t>Dòng MỚI thêm</t>
        </is>
      </c>
      <c r="G257" s="55" t="inlineStr">
        <is>
          <t>catalogue đã duyệt</t>
        </is>
      </c>
    </row>
    <row r="258">
      <c r="A258" s="55" t="inlineStr">
        <is>
          <t>DWO CDX</t>
        </is>
      </c>
      <c r="B258" s="55" t="n">
        <v>19</v>
      </c>
      <c r="C258" s="55" t="inlineStr">
        <is>
          <t>2CDXM120/30-2.2KW-220V</t>
        </is>
      </c>
      <c r="D258" s="55" t="inlineStr">
        <is>
          <t>(cả dòng)</t>
        </is>
      </c>
      <c r="E258" s="55" t="inlineStr"/>
      <c r="F258" s="55" t="inlineStr">
        <is>
          <t>Dòng MỚI thêm</t>
        </is>
      </c>
      <c r="G258" s="55" t="inlineStr">
        <is>
          <t>catalogue đã duyệt</t>
        </is>
      </c>
    </row>
    <row r="259">
      <c r="A259" s="55" t="inlineStr">
        <is>
          <t>DWO CDX</t>
        </is>
      </c>
      <c r="B259" s="55" t="n">
        <v>20</v>
      </c>
      <c r="C259" s="55" t="inlineStr">
        <is>
          <t>2CDX120/40-3KW-380V</t>
        </is>
      </c>
      <c r="D259" s="55" t="inlineStr">
        <is>
          <t>(cả dòng)</t>
        </is>
      </c>
      <c r="E259" s="55" t="inlineStr"/>
      <c r="F259" s="55" t="inlineStr">
        <is>
          <t>Dòng MỚI thêm</t>
        </is>
      </c>
      <c r="G259" s="55" t="inlineStr">
        <is>
          <t>catalogue đã duyệt</t>
        </is>
      </c>
    </row>
    <row r="260">
      <c r="A260" s="55" t="inlineStr">
        <is>
          <t>DWO CDX</t>
        </is>
      </c>
      <c r="B260" s="55" t="n">
        <v>21</v>
      </c>
      <c r="C260" s="55" t="inlineStr">
        <is>
          <t>2CDXM120/40-3KW-220V</t>
        </is>
      </c>
      <c r="D260" s="55" t="inlineStr">
        <is>
          <t>(cả dòng)</t>
        </is>
      </c>
      <c r="E260" s="55" t="inlineStr"/>
      <c r="F260" s="55" t="inlineStr">
        <is>
          <t>Dòng MỚI thêm</t>
        </is>
      </c>
      <c r="G260" s="55" t="inlineStr">
        <is>
          <t>catalogue đã duyệt</t>
        </is>
      </c>
    </row>
    <row r="261">
      <c r="A261" s="55" t="inlineStr">
        <is>
          <t>DWO CDX</t>
        </is>
      </c>
      <c r="B261" s="55" t="n">
        <v>23</v>
      </c>
      <c r="C261" s="55" t="inlineStr">
        <is>
          <t>2CDX200/40-3KW-380V</t>
        </is>
      </c>
      <c r="D261" s="55" t="inlineStr">
        <is>
          <t>(cả dòng)</t>
        </is>
      </c>
      <c r="E261" s="55" t="inlineStr"/>
      <c r="F261" s="55" t="inlineStr">
        <is>
          <t>Dòng MỚI thêm</t>
        </is>
      </c>
      <c r="G261" s="55" t="inlineStr">
        <is>
          <t>catalogue đã duyệt</t>
        </is>
      </c>
    </row>
    <row r="262">
      <c r="A262" s="55" t="inlineStr">
        <is>
          <t>DWO CDX</t>
        </is>
      </c>
      <c r="B262" s="55" t="n">
        <v>24</v>
      </c>
      <c r="C262" s="55" t="inlineStr">
        <is>
          <t>2CDXM200/40-3KW-220V</t>
        </is>
      </c>
      <c r="D262" s="55" t="inlineStr">
        <is>
          <t>(cả dòng)</t>
        </is>
      </c>
      <c r="E262" s="55" t="inlineStr"/>
      <c r="F262" s="55" t="inlineStr">
        <is>
          <t>Dòng MỚI thêm</t>
        </is>
      </c>
      <c r="G262" s="55" t="inlineStr">
        <is>
          <t>catalogue đã duyệt</t>
        </is>
      </c>
    </row>
    <row r="263">
      <c r="A263" s="55" t="inlineStr">
        <is>
          <t>DWO CDX</t>
        </is>
      </c>
      <c r="B263" s="55" t="n">
        <v>25</v>
      </c>
      <c r="C263" s="55" t="inlineStr">
        <is>
          <t>2CDX200/50-3.7KW-380V</t>
        </is>
      </c>
      <c r="D263" s="55" t="inlineStr">
        <is>
          <t>(cả dòng)</t>
        </is>
      </c>
      <c r="E263" s="55" t="inlineStr"/>
      <c r="F263" s="55" t="inlineStr">
        <is>
          <t>Dòng MỚI thêm</t>
        </is>
      </c>
      <c r="G263" s="55" t="inlineStr">
        <is>
          <t>catalogue đã duyệt</t>
        </is>
      </c>
    </row>
    <row r="264">
      <c r="A264" s="55" t="inlineStr">
        <is>
          <t>Phụ kiện</t>
        </is>
      </c>
      <c r="B264" s="55" t="n">
        <v>13</v>
      </c>
      <c r="C264" s="55" t="inlineStr">
        <is>
          <t>DN128</t>
        </is>
      </c>
      <c r="D264" s="55" t="inlineStr">
        <is>
          <t>(cả dòng)</t>
        </is>
      </c>
      <c r="E264" s="55" t="inlineStr"/>
      <c r="F264" s="55" t="inlineStr">
        <is>
          <t>Dòng MỚI thêm</t>
        </is>
      </c>
      <c r="G264" s="55" t="inlineStr">
        <is>
          <t>catalogue đã duyệt</t>
        </is>
      </c>
    </row>
    <row r="265">
      <c r="A265" s="55" t="inlineStr">
        <is>
          <t>Trục ngang MHI</t>
        </is>
      </c>
      <c r="B265" s="55" t="n">
        <v>2</v>
      </c>
      <c r="C265" s="55" t="inlineStr">
        <is>
          <t>MHI-202</t>
        </is>
      </c>
      <c r="D265" s="55" t="inlineStr">
        <is>
          <t>(cả dòng)</t>
        </is>
      </c>
      <c r="E265" s="55" t="inlineStr"/>
      <c r="F265" s="55" t="inlineStr">
        <is>
          <t>Dòng MỚI thêm</t>
        </is>
      </c>
      <c r="G265" s="55" t="inlineStr">
        <is>
          <t>catalogue đã duyệt</t>
        </is>
      </c>
    </row>
    <row r="266">
      <c r="A266" s="55" t="inlineStr">
        <is>
          <t>Trục ngang MHI</t>
        </is>
      </c>
      <c r="B266" s="55" t="n">
        <v>3</v>
      </c>
      <c r="C266" s="55" t="inlineStr">
        <is>
          <t>MHI-203</t>
        </is>
      </c>
      <c r="D266" s="55" t="inlineStr">
        <is>
          <t>(cả dòng)</t>
        </is>
      </c>
      <c r="E266" s="55" t="inlineStr"/>
      <c r="F266" s="55" t="inlineStr">
        <is>
          <t>Dòng MỚI thêm</t>
        </is>
      </c>
      <c r="G266" s="55" t="inlineStr">
        <is>
          <t>catalogue đã duyệt</t>
        </is>
      </c>
    </row>
    <row r="267">
      <c r="A267" s="55" t="inlineStr">
        <is>
          <t>Trục ngang MHI</t>
        </is>
      </c>
      <c r="B267" s="55" t="n">
        <v>4</v>
      </c>
      <c r="C267" s="55" t="inlineStr">
        <is>
          <t>MHI-204</t>
        </is>
      </c>
      <c r="D267" s="55" t="inlineStr">
        <is>
          <t>(cả dòng)</t>
        </is>
      </c>
      <c r="E267" s="55" t="inlineStr"/>
      <c r="F267" s="55" t="inlineStr">
        <is>
          <t>Dòng MỚI thêm</t>
        </is>
      </c>
      <c r="G267" s="55" t="inlineStr">
        <is>
          <t>catalogue đã duyệt</t>
        </is>
      </c>
    </row>
    <row r="268">
      <c r="A268" s="55" t="inlineStr">
        <is>
          <t>Trục ngang MHI</t>
        </is>
      </c>
      <c r="B268" s="55" t="n">
        <v>5</v>
      </c>
      <c r="C268" s="55" t="inlineStr">
        <is>
          <t>MHI-205</t>
        </is>
      </c>
      <c r="D268" s="55" t="inlineStr">
        <is>
          <t>(cả dòng)</t>
        </is>
      </c>
      <c r="E268" s="55" t="inlineStr"/>
      <c r="F268" s="55" t="inlineStr">
        <is>
          <t>Dòng MỚI thêm</t>
        </is>
      </c>
      <c r="G268" s="55" t="inlineStr">
        <is>
          <t>catalogue đã duyệt</t>
        </is>
      </c>
    </row>
    <row r="269">
      <c r="A269" s="55" t="inlineStr">
        <is>
          <t>Trục ngang MHI</t>
        </is>
      </c>
      <c r="B269" s="55" t="n">
        <v>6</v>
      </c>
      <c r="C269" s="55" t="inlineStr">
        <is>
          <t>MHI-206</t>
        </is>
      </c>
      <c r="D269" s="55" t="inlineStr">
        <is>
          <t>(cả dòng)</t>
        </is>
      </c>
      <c r="E269" s="55" t="inlineStr"/>
      <c r="F269" s="55" t="inlineStr">
        <is>
          <t>Dòng MỚI thêm</t>
        </is>
      </c>
      <c r="G269" s="55" t="inlineStr">
        <is>
          <t>catalogue đã duyệt</t>
        </is>
      </c>
    </row>
    <row r="270">
      <c r="A270" s="55" t="inlineStr">
        <is>
          <t>Trục ngang MHI</t>
        </is>
      </c>
      <c r="B270" s="55" t="n">
        <v>7</v>
      </c>
      <c r="C270" s="55" t="inlineStr">
        <is>
          <t>MHI-402</t>
        </is>
      </c>
      <c r="D270" s="55" t="inlineStr">
        <is>
          <t>(cả dòng)</t>
        </is>
      </c>
      <c r="E270" s="55" t="inlineStr"/>
      <c r="F270" s="55" t="inlineStr">
        <is>
          <t>Dòng MỚI thêm</t>
        </is>
      </c>
      <c r="G270" s="55" t="inlineStr">
        <is>
          <t>catalogue đã duyệt</t>
        </is>
      </c>
    </row>
    <row r="271">
      <c r="A271" s="55" t="inlineStr">
        <is>
          <t>Trục ngang MHI</t>
        </is>
      </c>
      <c r="B271" s="55" t="n">
        <v>8</v>
      </c>
      <c r="C271" s="55" t="inlineStr">
        <is>
          <t>MHI-403</t>
        </is>
      </c>
      <c r="D271" s="55" t="inlineStr">
        <is>
          <t>(cả dòng)</t>
        </is>
      </c>
      <c r="E271" s="55" t="inlineStr"/>
      <c r="F271" s="55" t="inlineStr">
        <is>
          <t>Dòng MỚI thêm</t>
        </is>
      </c>
      <c r="G271" s="55" t="inlineStr">
        <is>
          <t>catalogue đã duyệt</t>
        </is>
      </c>
    </row>
    <row r="272">
      <c r="A272" s="55" t="inlineStr">
        <is>
          <t>Trục ngang MHI</t>
        </is>
      </c>
      <c r="B272" s="55" t="n">
        <v>9</v>
      </c>
      <c r="C272" s="55" t="inlineStr">
        <is>
          <t>MHI-404</t>
        </is>
      </c>
      <c r="D272" s="55" t="inlineStr">
        <is>
          <t>(cả dòng)</t>
        </is>
      </c>
      <c r="E272" s="55" t="inlineStr"/>
      <c r="F272" s="55" t="inlineStr">
        <is>
          <t>Dòng MỚI thêm</t>
        </is>
      </c>
      <c r="G272" s="55" t="inlineStr">
        <is>
          <t>catalogue đã duyệt</t>
        </is>
      </c>
    </row>
    <row r="273">
      <c r="A273" s="55" t="inlineStr">
        <is>
          <t>Trục ngang MHI</t>
        </is>
      </c>
      <c r="B273" s="55" t="n">
        <v>10</v>
      </c>
      <c r="C273" s="55" t="inlineStr">
        <is>
          <t>MHI-405</t>
        </is>
      </c>
      <c r="D273" s="55" t="inlineStr">
        <is>
          <t>(cả dòng)</t>
        </is>
      </c>
      <c r="E273" s="55" t="inlineStr"/>
      <c r="F273" s="55" t="inlineStr">
        <is>
          <t>Dòng MỚI thêm</t>
        </is>
      </c>
      <c r="G273" s="55" t="inlineStr">
        <is>
          <t>catalogue đã duyệt</t>
        </is>
      </c>
    </row>
    <row r="274">
      <c r="A274" s="55" t="inlineStr">
        <is>
          <t>Trục ngang MHI</t>
        </is>
      </c>
      <c r="B274" s="55" t="n">
        <v>11</v>
      </c>
      <c r="C274" s="55" t="inlineStr">
        <is>
          <t>MHI-406</t>
        </is>
      </c>
      <c r="D274" s="55" t="inlineStr">
        <is>
          <t>(cả dòng)</t>
        </is>
      </c>
      <c r="E274" s="55" t="inlineStr"/>
      <c r="F274" s="55" t="inlineStr">
        <is>
          <t>Dòng MỚI thêm</t>
        </is>
      </c>
      <c r="G274" s="55" t="inlineStr">
        <is>
          <t>catalogue đã duyệt</t>
        </is>
      </c>
    </row>
    <row r="275">
      <c r="A275" s="55" t="inlineStr">
        <is>
          <t>Trục ngang MHI</t>
        </is>
      </c>
      <c r="B275" s="55" t="n">
        <v>12</v>
      </c>
      <c r="C275" s="55" t="inlineStr">
        <is>
          <t>MHI-802</t>
        </is>
      </c>
      <c r="D275" s="55" t="inlineStr">
        <is>
          <t>(cả dòng)</t>
        </is>
      </c>
      <c r="E275" s="55" t="inlineStr"/>
      <c r="F275" s="55" t="inlineStr">
        <is>
          <t>Dòng MỚI thêm</t>
        </is>
      </c>
      <c r="G275" s="55" t="inlineStr">
        <is>
          <t>catalogue đã duyệt</t>
        </is>
      </c>
    </row>
    <row r="276">
      <c r="A276" s="55" t="inlineStr">
        <is>
          <t>Trục ngang MHI</t>
        </is>
      </c>
      <c r="B276" s="55" t="n">
        <v>13</v>
      </c>
      <c r="C276" s="55" t="inlineStr">
        <is>
          <t>MHI-803</t>
        </is>
      </c>
      <c r="D276" s="55" t="inlineStr">
        <is>
          <t>(cả dòng)</t>
        </is>
      </c>
      <c r="E276" s="55" t="inlineStr"/>
      <c r="F276" s="55" t="inlineStr">
        <is>
          <t>Dòng MỚI thêm</t>
        </is>
      </c>
      <c r="G276" s="55" t="inlineStr">
        <is>
          <t>catalogue đã duyệt</t>
        </is>
      </c>
    </row>
    <row r="277">
      <c r="A277" s="55" t="inlineStr">
        <is>
          <t>Trục ngang MHI</t>
        </is>
      </c>
      <c r="B277" s="55" t="n">
        <v>14</v>
      </c>
      <c r="C277" s="55" t="inlineStr">
        <is>
          <t>MHI-804</t>
        </is>
      </c>
      <c r="D277" s="55" t="inlineStr">
        <is>
          <t>(cả dòng)</t>
        </is>
      </c>
      <c r="E277" s="55" t="inlineStr"/>
      <c r="F277" s="55" t="inlineStr">
        <is>
          <t>Dòng MỚI thêm</t>
        </is>
      </c>
      <c r="G277" s="55" t="inlineStr">
        <is>
          <t>catalogue đã duyệt</t>
        </is>
      </c>
    </row>
    <row r="278">
      <c r="A278" s="55" t="inlineStr">
        <is>
          <t>Trục ngang MHI</t>
        </is>
      </c>
      <c r="B278" s="55" t="n">
        <v>15</v>
      </c>
      <c r="C278" s="55" t="inlineStr">
        <is>
          <t>MHI-805</t>
        </is>
      </c>
      <c r="D278" s="55" t="inlineStr">
        <is>
          <t>(cả dòng)</t>
        </is>
      </c>
      <c r="E278" s="55" t="inlineStr"/>
      <c r="F278" s="55" t="inlineStr">
        <is>
          <t>Dòng MỚI thêm</t>
        </is>
      </c>
      <c r="G278" s="55" t="inlineStr">
        <is>
          <t>catalogue đã duyệt</t>
        </is>
      </c>
    </row>
    <row r="279">
      <c r="A279" s="55" t="inlineStr">
        <is>
          <t>Trục ngang MHI</t>
        </is>
      </c>
      <c r="B279" s="55" t="n">
        <v>16</v>
      </c>
      <c r="C279" s="55" t="inlineStr">
        <is>
          <t>MHI-1602</t>
        </is>
      </c>
      <c r="D279" s="55" t="inlineStr">
        <is>
          <t>(cả dòng)</t>
        </is>
      </c>
      <c r="E279" s="55" t="inlineStr"/>
      <c r="F279" s="55" t="inlineStr">
        <is>
          <t>Dòng MỚI thêm</t>
        </is>
      </c>
      <c r="G279" s="55" t="inlineStr">
        <is>
          <t>catalogue đã duyệt</t>
        </is>
      </c>
    </row>
    <row r="280">
      <c r="A280" s="55" t="inlineStr">
        <is>
          <t>Trục ngang MHI</t>
        </is>
      </c>
      <c r="B280" s="55" t="n">
        <v>17</v>
      </c>
      <c r="C280" s="55" t="inlineStr">
        <is>
          <t>MHI-1603</t>
        </is>
      </c>
      <c r="D280" s="55" t="inlineStr">
        <is>
          <t>(cả dòng)</t>
        </is>
      </c>
      <c r="E280" s="55" t="inlineStr"/>
      <c r="F280" s="55" t="inlineStr">
        <is>
          <t>Dòng MỚI thêm</t>
        </is>
      </c>
      <c r="G280" s="55" t="inlineStr">
        <is>
          <t>catalogue đã duyệt</t>
        </is>
      </c>
    </row>
    <row r="281">
      <c r="A281" s="55" t="inlineStr">
        <is>
          <t>Trục ngang MHI</t>
        </is>
      </c>
      <c r="B281" s="55" t="n">
        <v>18</v>
      </c>
      <c r="C281" s="55" t="inlineStr">
        <is>
          <t>MHI-1604</t>
        </is>
      </c>
      <c r="D281" s="55" t="inlineStr">
        <is>
          <t>(cả dòng)</t>
        </is>
      </c>
      <c r="E281" s="55" t="inlineStr"/>
      <c r="F281" s="55" t="inlineStr">
        <is>
          <t>Dòng MỚI thêm</t>
        </is>
      </c>
      <c r="G281" s="55" t="inlineStr">
        <is>
          <t>catalogue đã duyệt</t>
        </is>
      </c>
    </row>
    <row r="282">
      <c r="A282" s="55" t="inlineStr">
        <is>
          <t>Trục ngang MHI</t>
        </is>
      </c>
      <c r="B282" s="55" t="n">
        <v>21</v>
      </c>
      <c r="C282" s="55" t="inlineStr">
        <is>
          <t>IVT-MHI202</t>
        </is>
      </c>
      <c r="D282" s="55" t="inlineStr">
        <is>
          <t>(cả dòng)</t>
        </is>
      </c>
      <c r="E282" s="55" t="inlineStr"/>
      <c r="F282" s="55" t="inlineStr">
        <is>
          <t>Dòng MỚI thêm</t>
        </is>
      </c>
      <c r="G282" s="55" t="inlineStr">
        <is>
          <t>catalogue đã duyệt</t>
        </is>
      </c>
    </row>
    <row r="283">
      <c r="A283" s="55" t="inlineStr">
        <is>
          <t>Trục ngang MHI</t>
        </is>
      </c>
      <c r="B283" s="55" t="n">
        <v>22</v>
      </c>
      <c r="C283" s="55" t="inlineStr">
        <is>
          <t>IVT-MHI203</t>
        </is>
      </c>
      <c r="D283" s="55" t="inlineStr">
        <is>
          <t>(cả dòng)</t>
        </is>
      </c>
      <c r="E283" s="55" t="inlineStr"/>
      <c r="F283" s="55" t="inlineStr">
        <is>
          <t>Dòng MỚI thêm</t>
        </is>
      </c>
      <c r="G283" s="55" t="inlineStr">
        <is>
          <t>catalogue đã duyệt</t>
        </is>
      </c>
    </row>
    <row r="284">
      <c r="A284" s="55" t="inlineStr">
        <is>
          <t>Trục ngang MHI</t>
        </is>
      </c>
      <c r="B284" s="55" t="n">
        <v>23</v>
      </c>
      <c r="C284" s="55" t="inlineStr">
        <is>
          <t>IVT-MHI402</t>
        </is>
      </c>
      <c r="D284" s="55" t="inlineStr">
        <is>
          <t>(cả dòng)</t>
        </is>
      </c>
      <c r="E284" s="55" t="inlineStr"/>
      <c r="F284" s="55" t="inlineStr">
        <is>
          <t>Dòng MỚI thêm</t>
        </is>
      </c>
      <c r="G284" s="55" t="inlineStr">
        <is>
          <t>catalogue đã duyệt</t>
        </is>
      </c>
    </row>
    <row r="285">
      <c r="A285" s="55" t="inlineStr">
        <is>
          <t>Trục ngang MHI</t>
        </is>
      </c>
      <c r="B285" s="55" t="n">
        <v>24</v>
      </c>
      <c r="C285" s="55" t="inlineStr">
        <is>
          <t>IVT-MHI403</t>
        </is>
      </c>
      <c r="D285" s="55" t="inlineStr">
        <is>
          <t>(cả dòng)</t>
        </is>
      </c>
      <c r="E285" s="55" t="inlineStr"/>
      <c r="F285" s="55" t="inlineStr">
        <is>
          <t>Dòng MỚI thêm</t>
        </is>
      </c>
      <c r="G285" s="55" t="inlineStr">
        <is>
          <t>catalogue đã duyệt</t>
        </is>
      </c>
    </row>
    <row r="286">
      <c r="A286" s="55" t="inlineStr">
        <is>
          <t>Trục ngang MHI</t>
        </is>
      </c>
      <c r="B286" s="55" t="n">
        <v>25</v>
      </c>
      <c r="C286" s="55" t="inlineStr">
        <is>
          <t>IVT-MHI404</t>
        </is>
      </c>
      <c r="D286" s="55" t="inlineStr">
        <is>
          <t>(cả dòng)</t>
        </is>
      </c>
      <c r="E286" s="55" t="inlineStr"/>
      <c r="F286" s="55" t="inlineStr">
        <is>
          <t>Dòng MỚI thêm</t>
        </is>
      </c>
      <c r="G286" s="55" t="inlineStr">
        <is>
          <t>catalogue đã duyệt</t>
        </is>
      </c>
    </row>
    <row r="287">
      <c r="A287" s="55" t="inlineStr">
        <is>
          <t>Trục ngang MHI</t>
        </is>
      </c>
      <c r="B287" s="55" t="n">
        <v>26</v>
      </c>
      <c r="C287" s="55" t="inlineStr">
        <is>
          <t>IVT-MHI405</t>
        </is>
      </c>
      <c r="D287" s="55" t="inlineStr">
        <is>
          <t>(cả dòng)</t>
        </is>
      </c>
      <c r="E287" s="55" t="inlineStr"/>
      <c r="F287" s="55" t="inlineStr">
        <is>
          <t>Dòng MỚI thêm</t>
        </is>
      </c>
      <c r="G287" s="55" t="inlineStr">
        <is>
          <t>catalogue đã duyệt</t>
        </is>
      </c>
    </row>
    <row r="288">
      <c r="A288" s="55" t="inlineStr">
        <is>
          <t>Trục ngang MHI</t>
        </is>
      </c>
      <c r="B288" s="55" t="n">
        <v>27</v>
      </c>
      <c r="C288" s="55" t="inlineStr">
        <is>
          <t>IVT-MHI406</t>
        </is>
      </c>
      <c r="D288" s="55" t="inlineStr">
        <is>
          <t>(cả dòng)</t>
        </is>
      </c>
      <c r="E288" s="55" t="inlineStr"/>
      <c r="F288" s="55" t="inlineStr">
        <is>
          <t>Dòng MỚI thêm</t>
        </is>
      </c>
      <c r="G288" s="55" t="inlineStr">
        <is>
          <t>catalogue đã duyệt</t>
        </is>
      </c>
    </row>
    <row r="289">
      <c r="A289" s="55" t="inlineStr">
        <is>
          <t>Trục ngang MHI</t>
        </is>
      </c>
      <c r="B289" s="55" t="n">
        <v>28</v>
      </c>
      <c r="C289" s="55" t="inlineStr">
        <is>
          <t>IVT-MHI802</t>
        </is>
      </c>
      <c r="D289" s="55" t="inlineStr">
        <is>
          <t>(cả dòng)</t>
        </is>
      </c>
      <c r="E289" s="55" t="inlineStr"/>
      <c r="F289" s="55" t="inlineStr">
        <is>
          <t>Dòng MỚI thêm</t>
        </is>
      </c>
      <c r="G289" s="55" t="inlineStr">
        <is>
          <t>catalogue đã duyệt</t>
        </is>
      </c>
    </row>
    <row r="290">
      <c r="A290" s="55" t="inlineStr">
        <is>
          <t>Trục ngang MHI</t>
        </is>
      </c>
      <c r="B290" s="55" t="n">
        <v>29</v>
      </c>
      <c r="C290" s="55" t="inlineStr">
        <is>
          <t>IVT-MHI803</t>
        </is>
      </c>
      <c r="D290" s="55" t="inlineStr">
        <is>
          <t>(cả dòng)</t>
        </is>
      </c>
      <c r="E290" s="55" t="inlineStr"/>
      <c r="F290" s="55" t="inlineStr">
        <is>
          <t>Dòng MỚI thêm</t>
        </is>
      </c>
      <c r="G290" s="55" t="inlineStr">
        <is>
          <t>catalogue đã duyệt</t>
        </is>
      </c>
    </row>
    <row r="291">
      <c r="A291" s="55" t="inlineStr">
        <is>
          <t>Trục ngang MHI</t>
        </is>
      </c>
      <c r="B291" s="55" t="n">
        <v>30</v>
      </c>
      <c r="C291" s="55" t="inlineStr">
        <is>
          <t>IVT-MHI804</t>
        </is>
      </c>
      <c r="D291" s="55" t="inlineStr">
        <is>
          <t>(cả dòng)</t>
        </is>
      </c>
      <c r="E291" s="55" t="inlineStr"/>
      <c r="F291" s="55" t="inlineStr">
        <is>
          <t>Dòng MỚI thêm</t>
        </is>
      </c>
      <c r="G291" s="55" t="inlineStr">
        <is>
          <t>catalogue đã duyệt</t>
        </is>
      </c>
    </row>
    <row r="292">
      <c r="A292" s="55" t="inlineStr">
        <is>
          <t>Trục ngang MHI</t>
        </is>
      </c>
      <c r="B292" s="55" t="n">
        <v>31</v>
      </c>
      <c r="C292" s="55" t="inlineStr">
        <is>
          <t>IVT-MHI805</t>
        </is>
      </c>
      <c r="D292" s="55" t="inlineStr">
        <is>
          <t>(cả dòng)</t>
        </is>
      </c>
      <c r="E292" s="55" t="inlineStr"/>
      <c r="F292" s="55" t="inlineStr">
        <is>
          <t>Dòng MỚI thêm</t>
        </is>
      </c>
      <c r="G292" s="55" t="inlineStr">
        <is>
          <t>catalogue đã duyệt</t>
        </is>
      </c>
    </row>
    <row r="293">
      <c r="A293" s="55" t="inlineStr">
        <is>
          <t>Trục ngang MHI</t>
        </is>
      </c>
      <c r="B293" s="55" t="n">
        <v>32</v>
      </c>
      <c r="C293" s="55" t="inlineStr">
        <is>
          <t>IVT-MHI1602</t>
        </is>
      </c>
      <c r="D293" s="55" t="inlineStr">
        <is>
          <t>(cả dòng)</t>
        </is>
      </c>
      <c r="E293" s="55" t="inlineStr"/>
      <c r="F293" s="55" t="inlineStr">
        <is>
          <t>Dòng MỚI thêm</t>
        </is>
      </c>
      <c r="G293" s="55" t="inlineStr">
        <is>
          <t>catalogue đã duyệt</t>
        </is>
      </c>
    </row>
    <row r="294">
      <c r="A294" s="55" t="inlineStr">
        <is>
          <t>Trục ngang MHI</t>
        </is>
      </c>
      <c r="B294" s="55" t="n">
        <v>33</v>
      </c>
      <c r="C294" s="55" t="inlineStr">
        <is>
          <t>IVT-MHI1603</t>
        </is>
      </c>
      <c r="D294" s="55" t="inlineStr">
        <is>
          <t>(cả dòng)</t>
        </is>
      </c>
      <c r="E294" s="55" t="inlineStr"/>
      <c r="F294" s="55" t="inlineStr">
        <is>
          <t>Dòng MỚI thêm</t>
        </is>
      </c>
      <c r="G294" s="55" t="inlineStr">
        <is>
          <t>catalogue đã duyệt</t>
        </is>
      </c>
    </row>
    <row r="295">
      <c r="A295" s="55" t="inlineStr">
        <is>
          <t>Trục ngang MHI</t>
        </is>
      </c>
      <c r="B295" s="55" t="n">
        <v>34</v>
      </c>
      <c r="C295" s="55" t="inlineStr">
        <is>
          <t>IVT-MHI1604</t>
        </is>
      </c>
      <c r="D295" s="55" t="inlineStr">
        <is>
          <t>(cả dòng)</t>
        </is>
      </c>
      <c r="E295" s="55" t="inlineStr"/>
      <c r="F295" s="55" t="inlineStr">
        <is>
          <t>Dòng MỚI thêm</t>
        </is>
      </c>
      <c r="G295" s="55" t="inlineStr">
        <is>
          <t>catalogue đã duyệt</t>
        </is>
      </c>
    </row>
  </sheetData>
  <autoFilter ref="A1:G2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2026-06-30T07:44:06Z</dcterms:created>
  <dcterms:modified xmlns:dcterms="http://purl.org/dc/terms/" xmlns:xsi="http://www.w3.org/2001/XMLSchema-instance" xsi:type="dcterms:W3CDTF">2026-10-08T23:33:32Z</dcterms:modified>
  <cp:lastModifiedBy>H2</cp:lastModifiedBy>
  <cp:revision>0</cp:revision>
</cp:coreProperties>
</file>