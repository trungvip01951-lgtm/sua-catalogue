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hợp" sheetId="1" state="visible" r:id="rId3"/>
    <sheet name="Danh sách lỗi" sheetId="2" state="visible" r:id="rId4"/>
    <sheet name="Cách kiểm &amp; lưu ý" sheetId="3" state="visible" r:id="rId5"/>
  </sheets>
  <definedNames>
    <definedName function="false" hidden="false" localSheetId="1" name="_xlnm.Print_Titles" vbProcedure="false">'Danh sách lỗi'!$2:$2</definedName>
    <definedName function="false" hidden="true" localSheetId="1" name="_xlnm._FilterDatabase" vbProcedure="false">'Danh sách lỗi'!$A$2:$L$178</definedName>
    <definedName function="false" hidden="false" localSheetId="0" name="_xlnm.Print_Titles" vbProcedure="false">'Tổng hợp'!$4:$4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<sst xmlns="http://schemas.openxmlformats.org/spreadsheetml/2006/main" count="1589" uniqueCount="770">
  <si>
    <t xml:space="preserve">KIỂM TRA CATALOGUE – thư mục "Catalog Sua" (01/10/2026)</t>
  </si>
  <si>
    <t xml:space="preserve">Số lỗi theo file và mức độ (công thức đếm từ sheet "Danh sách lỗi"; một dòng lỗi chung cho nhiều file được tính cho từng file).</t>
  </si>
  <si>
    <t xml:space="preserve">Thư mục</t>
  </si>
  <si>
    <t xml:space="preserve">File (bản cũ)</t>
  </si>
  <si>
    <t xml:space="preserve">Số trang</t>
  </si>
  <si>
    <t xml:space="preserve">1-Nghiêm trọng</t>
  </si>
  <si>
    <t xml:space="preserve">2-Lỗi</t>
  </si>
  <si>
    <t xml:space="preserve">3-Cần anh xác nhận</t>
  </si>
  <si>
    <t xml:space="preserve">4-Nhỏ (trình bày)</t>
  </si>
  <si>
    <t xml:space="preserve">Tổng</t>
  </si>
  <si>
    <t xml:space="preserve">Anh đã duyệt "Sửa"</t>
  </si>
  <si>
    <t xml:space="preserve">Bản mới (để sửa)</t>
  </si>
  <si>
    <t xml:space="preserve">Giếng</t>
  </si>
  <si>
    <t xml:space="preserve">Aquaris bơm giếng SA 1_300dpi_75%.pdf</t>
  </si>
  <si>
    <t xml:space="preserve">BẢN MỚI 01-10-2026\Giếng\Aquaris bơm giếng SA 1_300dpi_75% (bản mới).pdf</t>
  </si>
  <si>
    <t xml:space="preserve">Aquaris bơm giếng SP 1_300dpi_75%.pdf</t>
  </si>
  <si>
    <t xml:space="preserve">BẢN MỚI 01-10-2026\Giếng\Aquaris bơm giếng SP 1_300dpi_75% (bản mới).pdf</t>
  </si>
  <si>
    <t xml:space="preserve">Perotac bơm giếng SA_compressed.pdf</t>
  </si>
  <si>
    <t xml:space="preserve">BẢN MỚI 01-10-2026\Giếng\Perotac bơm giếng SA_compressed (bản mới).pdf</t>
  </si>
  <si>
    <t xml:space="preserve">Perotac bơm giếng SP_compressed.pdf</t>
  </si>
  <si>
    <t xml:space="preserve">BẢN MỚI 01-10-2026\Giếng\Perotac bơm giếng SP_compressed (bản mới).pdf</t>
  </si>
  <si>
    <t xml:space="preserve">Redpump gieng SL_compressed.pdf</t>
  </si>
  <si>
    <t xml:space="preserve">BẢN MỚI 01-10-2026\Giếng\Redpump gieng SL_compressed (bản mới).pdf</t>
  </si>
  <si>
    <t xml:space="preserve">Nước thải</t>
  </si>
  <si>
    <t xml:space="preserve">Aquaris FS_300dpi_75%.pdf</t>
  </si>
  <si>
    <t xml:space="preserve">BẢN MỚI 01-10-2026\Nước thải\Aquaris FS_300dpi_75% (bản mới).pdf</t>
  </si>
  <si>
    <t xml:space="preserve">Catalog bơm nước thải Aquaris FS.pdf</t>
  </si>
  <si>
    <t xml:space="preserve">BẢN MỚI 01-10-2026\Nước thải\Catalog bơm nước thải Aquaris FS (bản mới).pdf</t>
  </si>
  <si>
    <t xml:space="preserve">Catalog cắt rác Aquaris WC.pdf</t>
  </si>
  <si>
    <t xml:space="preserve">BẢN MỚI 01-10-2026\Nước thải\Catalog cắt rác Aquaris WC (bản mới).pdf</t>
  </si>
  <si>
    <t xml:space="preserve">Catalog cắt rác perotac.pdf</t>
  </si>
  <si>
    <t xml:space="preserve">BẢN MỚI 01-10-2026\Nước thải\Catalog cắt rác perotac (bản mới).pdf</t>
  </si>
  <si>
    <t xml:space="preserve">Catalog cắt rác redpump.pdf</t>
  </si>
  <si>
    <t xml:space="preserve">BẢN MỚI 01-10-2026\Nước thải\Catalog cắt rác redpump (bản mới).pdf</t>
  </si>
  <si>
    <t xml:space="preserve">Catalogue perotac.xlsx</t>
  </si>
  <si>
    <t xml:space="preserve">Excel</t>
  </si>
  <si>
    <t xml:space="preserve">BẢN MỚI 01-10-2026\Nước thải\Catalogue perotac (bản mới).xlsx</t>
  </si>
  <si>
    <t xml:space="preserve">KTZ - LH Perotac.pdf</t>
  </si>
  <si>
    <t xml:space="preserve">BẢN MỚI 01-10-2026\Nước thải\KTZ - LH Perotac (bản mới).pdf</t>
  </si>
  <si>
    <t xml:space="preserve">KTZ - LH Redpump.pdf</t>
  </si>
  <si>
    <t xml:space="preserve">BẢN MỚI 01-10-2026\Nước thải\KTZ - LH Redpump (bản mới).pdf</t>
  </si>
  <si>
    <t xml:space="preserve">Thổi khí</t>
  </si>
  <si>
    <t xml:space="preserve">May thoi khi Perotac_300dpi_75%.pdf</t>
  </si>
  <si>
    <t xml:space="preserve">BẢN MỚI 01-10-2026\Thổi khí\May thoi khi Perotac_300dpi_75% (bản mới).pdf</t>
  </si>
  <si>
    <t xml:space="preserve">Perotac Root_300dpi_75%.pdf</t>
  </si>
  <si>
    <t xml:space="preserve">BẢN MỚI 01-10-2026\Thổi khí\Perotac Root_300dpi_75% (bản mới).pdf</t>
  </si>
  <si>
    <t xml:space="preserve">Trục đứng</t>
  </si>
  <si>
    <t xml:space="preserve">Bơm trục đứng CDLF Aquaris.pdf</t>
  </si>
  <si>
    <t xml:space="preserve">BẢN MỚI 01-10-2026\Trục đứng\Bơm trục đứng CDLF Aquaris (bản mới).pdf</t>
  </si>
  <si>
    <t xml:space="preserve">Bơm trục đứng Perotac CDLF.pdf</t>
  </si>
  <si>
    <t xml:space="preserve">BẢN MỚI 01-10-2026\Trục đứng\Bơm trục đứng Perotac CDLF (bản mới).pdf</t>
  </si>
  <si>
    <t xml:space="preserve">Inline IRG Perotac.pdf</t>
  </si>
  <si>
    <t xml:space="preserve">BẢN MỚI 01-10-2026\Trục đứng\Inline IRG Perotac (bản mới).pdf</t>
  </si>
  <si>
    <t xml:space="preserve">Trục ngang</t>
  </si>
  <si>
    <t xml:space="preserve">3M Aquaris.pdf</t>
  </si>
  <si>
    <t xml:space="preserve">BẢN MỚI 01-10-2026\Trục ngang\3M Aquaris (bản mới).pdf</t>
  </si>
  <si>
    <t xml:space="preserve">3M Perotac.pdf</t>
  </si>
  <si>
    <t xml:space="preserve">BẢN MỚI 01-10-2026\Trục ngang\3M Perotac (bản mới).pdf</t>
  </si>
  <si>
    <t xml:space="preserve">Aquaris truc ngang CM.pdf</t>
  </si>
  <si>
    <t xml:space="preserve">BẢN MỚI 01-10-2026\Trục ngang\Aquaris truc ngang CM (bản mới).pdf</t>
  </si>
  <si>
    <t xml:space="preserve">CDX Perotac.pdf</t>
  </si>
  <si>
    <t xml:space="preserve">BẢN MỚI 01-10-2026\Trục ngang\CDX Perotac (bản mới).pdf</t>
  </si>
  <si>
    <t xml:space="preserve">Catalogue DWO.xlsx</t>
  </si>
  <si>
    <t xml:space="preserve">BẢN MỚI 01-10-2026\Trục ngang\Catalogue DWO (bản mới).xlsx</t>
  </si>
  <si>
    <t xml:space="preserve">bơm trục ngnag perotac model CM.pdf</t>
  </si>
  <si>
    <t xml:space="preserve">BẢN MỚI 01-10-2026\Trục ngang\bơm trục ngnag perotac model CM (bản mới).pdf</t>
  </si>
  <si>
    <t xml:space="preserve">bơm trục ngnag redpump model CM_300dpi_75%.pdf</t>
  </si>
  <si>
    <t xml:space="preserve">BẢN MỚI 01-10-2026\Trục ngang\bơm trục ngnag redpump model CM_300dpi_75% (bản mới).pdf</t>
  </si>
  <si>
    <t xml:space="preserve">Dòng ghi chú chung (không gắn file cụ thể)</t>
  </si>
  <si>
    <t xml:space="preserve">Số dòng lỗi trong danh sách (mỗi dòng đếm 1 lần)</t>
  </si>
  <si>
    <t xml:space="preserve">DANH SÁCH LỖI CATALOGUE – kiểm ngày 01/10/2026. Anh chỉ điền cột K "Anh duyệt" (chọn Sửa / Không sửa / Hỏi lại) và cột L nếu cần, ví dụ: K = Sửa, L = "sửa theo đề xuất". Em sẽ sửa trong thư mục "BẢN MỚI 01-10-2026".</t>
  </si>
  <si>
    <t xml:space="preserve">STT</t>
  </si>
  <si>
    <t xml:space="preserve">Trang PDF</t>
  </si>
  <si>
    <t xml:space="preserve">Trang in</t>
  </si>
  <si>
    <t xml:space="preserve">Mức độ</t>
  </si>
  <si>
    <t xml:space="preserve">Vị trí / mục</t>
  </si>
  <si>
    <t xml:space="preserve">Đang ghi (lỗi)</t>
  </si>
  <si>
    <t xml:space="preserve">Đề xuất sửa</t>
  </si>
  <si>
    <t xml:space="preserve">Căn cứ kiểm</t>
  </si>
  <si>
    <t xml:space="preserve">Anh duyệt</t>
  </si>
  <si>
    <t xml:space="preserve">Ghi chú của anh</t>
  </si>
  <si>
    <t xml:space="preserve">3</t>
  </si>
  <si>
    <t xml:space="preserve">01</t>
  </si>
  <si>
    <t xml:space="preserve">Bảng 4SA2, dòng 4SA2/65</t>
  </si>
  <si>
    <t xml:space="preserve">4.0 kW = 5.0 HP</t>
  </si>
  <si>
    <t xml:space="preserve">4.0 kW = 5.5 HP (như các trang khác)</t>
  </si>
  <si>
    <t xml:space="preserve">Đối chiếu kW↔HP trong cùng file</t>
  </si>
  <si>
    <t xml:space="preserve">4</t>
  </si>
  <si>
    <t xml:space="preserve">02</t>
  </si>
  <si>
    <t xml:space="preserve">Bảng 4SA3, hàng m³/h</t>
  </si>
  <si>
    <t xml:space="preserve">1.1 m³/h ứng 20 l/min</t>
  </si>
  <si>
    <t xml:space="preserve">1.2 m³/h</t>
  </si>
  <si>
    <t xml:space="preserve">20 l/min × 0,06 = 1,2 m³/h</t>
  </si>
  <si>
    <t xml:space="preserve">5</t>
  </si>
  <si>
    <t xml:space="preserve">03</t>
  </si>
  <si>
    <t xml:space="preserve">Bảng 4SA4, hàng m³/h</t>
  </si>
  <si>
    <t xml:space="preserve">5.0 m³/h ứng 90 l/min</t>
  </si>
  <si>
    <t xml:space="preserve">5.4 m³/h</t>
  </si>
  <si>
    <t xml:space="preserve">90 l/min × 0,06 = 5,4 m³/h</t>
  </si>
  <si>
    <t xml:space="preserve">Bảng 4SA4, dòng 4SA4/22, cột 3.0 m³/h (50 l/min)</t>
  </si>
  <si>
    <t xml:space="preserve">103 (thấp hơn cả điểm 4.2 m³/h = 104)</t>
  </si>
  <si>
    <t xml:space="preserve">≈129</t>
  </si>
  <si>
    <t xml:space="preserve">Tỉ lệ cột áp/tầng các model cùng bảng (4SA4/16 = 94 → 5,9 m/tầng)</t>
  </si>
  <si>
    <t xml:space="preserve">Bảng 4SA4, dòng 4SA4/40, cột 6.0 m³/h</t>
  </si>
  <si>
    <t xml:space="preserve">98</t>
  </si>
  <si>
    <t xml:space="preserve">≈89 (4SA4/32 = 71, 4SA4/50 = 111 → 2,22 m/tầng)</t>
  </si>
  <si>
    <t xml:space="preserve">Tỉ lệ cột áp/tầng</t>
  </si>
  <si>
    <t xml:space="preserve">6</t>
  </si>
  <si>
    <t xml:space="preserve">04</t>
  </si>
  <si>
    <t xml:space="preserve">Bảng 4SA6, dòng 4SA6/11</t>
  </si>
  <si>
    <t xml:space="preserve">1.0 kW / 1.5 HP</t>
  </si>
  <si>
    <t xml:space="preserve">1.1 kW / 1.5 HP</t>
  </si>
  <si>
    <t xml:space="preserve">Đối chiếu kW↔HP</t>
  </si>
  <si>
    <t xml:space="preserve">Bảng 4SA6, dòng 4SA6/36, cột 1.2 m³/h</t>
  </si>
  <si>
    <t xml:space="preserve">281 (cao hơn cả điểm 0 = 227)</t>
  </si>
  <si>
    <t xml:space="preserve">≈217</t>
  </si>
  <si>
    <t xml:space="preserve">Tỉ lệ cột áp/tầng (4SA6/28 = 169, 4SA6/46 = 278)</t>
  </si>
  <si>
    <t xml:space="preserve">7</t>
  </si>
  <si>
    <t xml:space="preserve">05</t>
  </si>
  <si>
    <t xml:space="preserve">Bảng 4SA8, hàng m³/h</t>
  </si>
  <si>
    <t xml:space="preserve">2.2 m³/h ứng 40 l/min</t>
  </si>
  <si>
    <t xml:space="preserve">2.4 m³/h</t>
  </si>
  <si>
    <t xml:space="preserve">40 l/min × 0,06 = 2,4 m³/h</t>
  </si>
  <si>
    <t xml:space="preserve">Bảng 4SA8, dòng 4SA8/8</t>
  </si>
  <si>
    <t xml:space="preserve">Bảng 4SA8, dòng "4SA8/24"</t>
  </si>
  <si>
    <t xml:space="preserve">Tên 4SA8/24 nhưng số liệu 162-153-137-114-72-14 là của 28 tầng; biểu đồ ghi 4SA8/28</t>
  </si>
  <si>
    <t xml:space="preserve">Đổi tên thành 4SA8/28 (hoặc sửa số liệu nếu đúng là 24 tầng)</t>
  </si>
  <si>
    <t xml:space="preserve">5,8 m/tầng ×28 = 162; nhãn biểu đồ</t>
  </si>
  <si>
    <t xml:space="preserve">Bảng 4SA8, dòng 4SA8/44, cột 4.8 m³/h</t>
  </si>
  <si>
    <t xml:space="preserve">316 (cao hơn điểm 0 = 255)</t>
  </si>
  <si>
    <t xml:space="preserve">≈216 (khớp đường cong biểu đồ)</t>
  </si>
  <si>
    <t xml:space="preserve">Tỉ lệ cột áp/tầng + biểu đồ</t>
  </si>
  <si>
    <t xml:space="preserve">8</t>
  </si>
  <si>
    <t xml:space="preserve">06</t>
  </si>
  <si>
    <t xml:space="preserve">Bảng 4SA10, dòng 4SA10/28, cột 1.8 m³/h</t>
  </si>
  <si>
    <t xml:space="preserve">116</t>
  </si>
  <si>
    <t xml:space="preserve">≈166</t>
  </si>
  <si>
    <t xml:space="preserve">Tỉ lệ cột áp/tầng (4SA10/23 = 136 → 5,9 m/tầng)</t>
  </si>
  <si>
    <t xml:space="preserve">10</t>
  </si>
  <si>
    <t xml:space="preserve">08</t>
  </si>
  <si>
    <t xml:space="preserve">Bảng 4SA16, hàng l/min</t>
  </si>
  <si>
    <t xml:space="preserve">230 / 265 / 360 ứng 14 / 16 / 22 m³/h</t>
  </si>
  <si>
    <t xml:space="preserve">233 / 267 / 367</t>
  </si>
  <si>
    <t xml:space="preserve">m³/h × 16,67</t>
  </si>
  <si>
    <t xml:space="preserve">2</t>
  </si>
  <si>
    <t xml:space="preserve">Trang mục lục</t>
  </si>
  <si>
    <t xml:space="preserve">Tên model trong 6 ô không thẳng hàng</t>
  </si>
  <si>
    <t xml:space="preserve">Căn lại cho đều</t>
  </si>
  <si>
    <t xml:space="preserve">Xem ảnh trang</t>
  </si>
  <si>
    <t xml:space="preserve">cả file</t>
  </si>
  <si>
    <t xml:space="preserve">Chữ chung</t>
  </si>
  <si>
    <t xml:space="preserve">"Kw", "KW", "Hp"; "Aquaris S.r.l"; "diameterϕ95mm" dính chữ</t>
  </si>
  <si>
    <t xml:space="preserve">kW, HP; S.r.l.; "diameter ϕ95 mm"</t>
  </si>
  <si>
    <t xml:space="preserve">Đọc trang</t>
  </si>
  <si>
    <t xml:space="preserve">Mục lục</t>
  </si>
  <si>
    <t xml:space="preserve">Có mục "5SP5" nhưng catalogue không có trang 5SP5</t>
  </si>
  <si>
    <t xml:space="preserve">Bỏ 5SP5 khỏi mục lục (hoặc bổ sung trang)</t>
  </si>
  <si>
    <t xml:space="preserve">Đối chiếu mục lục với các trang 08–12</t>
  </si>
  <si>
    <t xml:space="preserve">Bảng 3SP1, hàng l/min</t>
  </si>
  <si>
    <t xml:space="preserve">6 l/min ứng 0.5 m³/h</t>
  </si>
  <si>
    <t xml:space="preserve">8 l/min</t>
  </si>
  <si>
    <t xml:space="preserve">0,5 m³/h = 8,3 l/min</t>
  </si>
  <si>
    <t xml:space="preserve">3–4</t>
  </si>
  <si>
    <t xml:space="preserve">01–02</t>
  </si>
  <si>
    <t xml:space="preserve">Bảng 3SP1, 3SP2 – Outlet</t>
  </si>
  <si>
    <t xml:space="preserve">G2¼" cho bơm 3" (thân Ø70 mm)</t>
  </si>
  <si>
    <t xml:space="preserve">Kiểm lại cỡ ren (bơm 4" trong file ghi G1¼")</t>
  </si>
  <si>
    <t xml:space="preserve">Kích thước ren lớn hơn thân bơm</t>
  </si>
  <si>
    <t xml:space="preserve">Sơ đồ ký hiệu model 4SP2</t>
  </si>
  <si>
    <t xml:space="preserve">"4 SP 2 23 - 11" với chú thích Motor power</t>
  </si>
  <si>
    <t xml:space="preserve">"23 - 1.1" (4SP2-23 là 1,1 kW)</t>
  </si>
  <si>
    <t xml:space="preserve">Bảng cùng trang</t>
  </si>
  <si>
    <t xml:space="preserve">Bảng 4SP2, hàng l/min</t>
  </si>
  <si>
    <t xml:space="preserve">40 l/min ứng 2.5 m³/h</t>
  </si>
  <si>
    <t xml:space="preserve">42 l/min (như trang 3SP1, 3SP2)</t>
  </si>
  <si>
    <t xml:space="preserve">2,5 m³/h = 41,7 l/min</t>
  </si>
  <si>
    <t xml:space="preserve">Bảng 4SP2, dòng 4SP2-40, cột 2 m³/h</t>
  </si>
  <si>
    <t xml:space="preserve">140</t>
  </si>
  <si>
    <t xml:space="preserve">160</t>
  </si>
  <si>
    <t xml:space="preserve">Mọi model 4,0 m/tầng ở cột này</t>
  </si>
  <si>
    <t xml:space="preserve">Bảng 4SP2, dòng 4SP2-18, cột 2.5 m³/h</t>
  </si>
  <si>
    <t xml:space="preserve">66</t>
  </si>
  <si>
    <t xml:space="preserve">≈60</t>
  </si>
  <si>
    <t xml:space="preserve">9</t>
  </si>
  <si>
    <t xml:space="preserve">07</t>
  </si>
  <si>
    <t xml:space="preserve">Bảng 4SP14, dòng 4SP14-13, chiều dài</t>
  </si>
  <si>
    <t xml:space="preserve">818</t>
  </si>
  <si>
    <t xml:space="preserve">815 (bước 50 mm/tầng)</t>
  </si>
  <si>
    <t xml:space="preserve">Cột Length các dòng khác</t>
  </si>
  <si>
    <t xml:space="preserve">Bảng 4SP14, hàng l/min</t>
  </si>
  <si>
    <t xml:space="preserve">166 / 266</t>
  </si>
  <si>
    <t xml:space="preserve">167 / 267 (như các trang khác)</t>
  </si>
  <si>
    <t xml:space="preserve">10 m³/h = 166,7</t>
  </si>
  <si>
    <t xml:space="preserve">Bảng 5SP10, dòng thứ 4</t>
  </si>
  <si>
    <t xml:space="preserve">"5SP10-18" (4 kW, 88 m) – trùng tên dòng 5SP10-18 (9,2 kW)</t>
  </si>
  <si>
    <t xml:space="preserve">5SP10-08</t>
  </si>
  <si>
    <t xml:space="preserve">88 m = 8 tầng × 11 m; biểu đồ ghi 08-4.0</t>
  </si>
  <si>
    <t xml:space="preserve">Biểu đồ 5SP10</t>
  </si>
  <si>
    <t xml:space="preserve">Không có đường 5SP10-30 (cột áp vượt trục 300)</t>
  </si>
  <si>
    <t xml:space="preserve">Nới trục hoặc ghi chú</t>
  </si>
  <si>
    <t xml:space="preserve">Xem biểu đồ</t>
  </si>
  <si>
    <t xml:space="preserve">11</t>
  </si>
  <si>
    <t xml:space="preserve">09</t>
  </si>
  <si>
    <t xml:space="preserve">Bảng 5SP15, dòng 5SP15-22, cột 17 m³/h</t>
  </si>
  <si>
    <t xml:space="preserve">147</t>
  </si>
  <si>
    <t xml:space="preserve">≈167</t>
  </si>
  <si>
    <t xml:space="preserve">Mọi model 7,6 m/tầng ở cột này</t>
  </si>
  <si>
    <t xml:space="preserve">13</t>
  </si>
  <si>
    <t xml:space="preserve">Sơ đồ ký hiệu model trang 5SP25</t>
  </si>
  <si>
    <t xml:space="preserve">"5 SP 15 7 - 4" (chép từ trang 5SP15)</t>
  </si>
  <si>
    <t xml:space="preserve">Ví dụ model 5SP25 có trong bảng</t>
  </si>
  <si>
    <t xml:space="preserve">Bảng 5SP25, dòng 5SP25-12, chiều dài</t>
  </si>
  <si>
    <t xml:space="preserve">906</t>
  </si>
  <si>
    <t xml:space="preserve">900 (bước 56 mm/tầng; 5SP30-12 = 900)</t>
  </si>
  <si>
    <t xml:space="preserve">Cột Length</t>
  </si>
  <si>
    <t xml:space="preserve">14</t>
  </si>
  <si>
    <t xml:space="preserve">12</t>
  </si>
  <si>
    <t xml:space="preserve">Sơ đồ ký hiệu model trang 5SP30</t>
  </si>
  <si>
    <t xml:space="preserve">"5 SP 10 8 - 04" (chép từ trang 5SP10)</t>
  </si>
  <si>
    <t xml:space="preserve">Ví dụ model 5SP30 có trong bảng</t>
  </si>
  <si>
    <t xml:space="preserve">15,17,19,21,23,25,27,29,31</t>
  </si>
  <si>
    <t xml:space="preserve">13,15,…,29</t>
  </si>
  <si>
    <t xml:space="preserve">Mục Operating conditions (9 trang giới thiệu 6SP/8SP/10SP)</t>
  </si>
  <si>
    <t xml:space="preserve">Sau "Minimum well diameter: 6/8/10" có khối chữ lỗi font "Font chữ UTM sử dụng Bảng mã UNICODE – Vui lòng thiết lập lại Trình điều khiển bàn phím"</t>
  </si>
  <si>
    <t xml:space="preserve">Xoá khối chữ lỗi, ghi 6" / 8" / 10" bằng font có ký tự inch</t>
  </si>
  <si>
    <t xml:space="preserve">Xem phóng to 9 trang</t>
  </si>
  <si>
    <t xml:space="preserve">15,17,…,31</t>
  </si>
  <si>
    <t xml:space="preserve">9 trang giới thiệu</t>
  </si>
  <si>
    <t xml:space="preserve">"fluied", "Check value", "Motorr", "cARBON", "up to ±50°C"</t>
  </si>
  <si>
    <t xml:space="preserve">fluid, Check valve, Motor, Carbon, "up to +50°C"</t>
  </si>
  <si>
    <t xml:space="preserve">Bảng vật liệu 9 trang giới thiệu</t>
  </si>
  <si>
    <t xml:space="preserve">Hàng đầu ghi "Components" (trùng tiêu đề); có 2 hàng "Shaft"</t>
  </si>
  <si>
    <t xml:space="preserve">Ghi đúng tên chi tiết; hàng 2 đổi "Motor shaft"</t>
  </si>
  <si>
    <t xml:space="preserve">Bảng vật liệu – Shaft, Shaft coupling</t>
  </si>
  <si>
    <t xml:space="preserve">①AISI 316 ②AISI 304 (ngược thứ tự các chi tiết khác ①304 ②316)</t>
  </si>
  <si>
    <t xml:space="preserve">Kiểm lại thứ tự</t>
  </si>
  <si>
    <t xml:space="preserve">Warranty</t>
  </si>
  <si>
    <t xml:space="preserve">"Warranty: 1 year"</t>
  </si>
  <si>
    <t xml:space="preserve">Anh đã chốt Aquaris bảo hành 24 tháng (27/09) – có sửa thành 2 years?</t>
  </si>
  <si>
    <t xml:space="preserve">Quyết định trước của anh</t>
  </si>
  <si>
    <t xml:space="preserve">16</t>
  </si>
  <si>
    <t xml:space="preserve">Bảng 6SP20, dòng 6SP20-8, cột 25 m³/h (và 30 m³/h)</t>
  </si>
  <si>
    <t xml:space="preserve">54 (và 29)</t>
  </si>
  <si>
    <t xml:space="preserve">≈48 (và ≈25)</t>
  </si>
  <si>
    <t xml:space="preserve">Mọi model 6,0 m/tầng ở cột 25 m³/h</t>
  </si>
  <si>
    <t xml:space="preserve">Ghi chú 6SP20</t>
  </si>
  <si>
    <t xml:space="preserve">"Diffuser height: 56mm" nhưng cột Length tăng 45 mm/tầng</t>
  </si>
  <si>
    <t xml:space="preserve">Kiểm lại số 56 mm</t>
  </si>
  <si>
    <t xml:space="preserve">17</t>
  </si>
  <si>
    <t xml:space="preserve">15</t>
  </si>
  <si>
    <t xml:space="preserve">Sơ đồ ký hiệu trang 6SP30</t>
  </si>
  <si>
    <t xml:space="preserve">"6 SP 30 12 - 1.1"</t>
  </si>
  <si>
    <t xml:space="preserve">"12 - 11" (6SP30-12 là 11 kW)</t>
  </si>
  <si>
    <t xml:space="preserve">Bảng trang 16</t>
  </si>
  <si>
    <t xml:space="preserve">18</t>
  </si>
  <si>
    <t xml:space="preserve">Biểu đồ 6SP30</t>
  </si>
  <si>
    <t xml:space="preserve">Nhãn "13-22"</t>
  </si>
  <si>
    <t xml:space="preserve">"23-22"</t>
  </si>
  <si>
    <t xml:space="preserve">Biểu đồ 6SP30 – trục hoành</t>
  </si>
  <si>
    <t xml:space="preserve">0-10-15-20-30-40-50 cách đều nhau</t>
  </si>
  <si>
    <t xml:space="preserve">Sửa vạch chia (0-10-20-30-40-50)</t>
  </si>
  <si>
    <t xml:space="preserve">Bảng 6SP30, dòng 6SP30-16, cột 35 m³/h</t>
  </si>
  <si>
    <t xml:space="preserve">94</t>
  </si>
  <si>
    <t xml:space="preserve">96</t>
  </si>
  <si>
    <t xml:space="preserve">Mọi model 6,0 m/tầng</t>
  </si>
  <si>
    <t xml:space="preserve">21</t>
  </si>
  <si>
    <t xml:space="preserve">19</t>
  </si>
  <si>
    <t xml:space="preserve">Sơ đồ ký hiệu trang 6SP60</t>
  </si>
  <si>
    <t xml:space="preserve">"8SP Series stainless steel submersible pump"</t>
  </si>
  <si>
    <t xml:space="preserve">"6SP Series…"</t>
  </si>
  <si>
    <t xml:space="preserve">22</t>
  </si>
  <si>
    <t xml:space="preserve">20</t>
  </si>
  <si>
    <t xml:space="preserve">Bảng 6SP60, dòng 6SP60-13, cột 40 m³/h</t>
  </si>
  <si>
    <t xml:space="preserve">163</t>
  </si>
  <si>
    <t xml:space="preserve">≈135</t>
  </si>
  <si>
    <t xml:space="preserve">Mọi model ≈10,4 m/tầng</t>
  </si>
  <si>
    <t xml:space="preserve">Bảng 6SP60</t>
  </si>
  <si>
    <t xml:space="preserve">6SP60-12 cột 45 m³/h = 112; chiều dài 6SP60-16 = 2076</t>
  </si>
  <si>
    <t xml:space="preserve">≈117; 2079 (bước 113 mm)</t>
  </si>
  <si>
    <t xml:space="preserve">Tỉ lệ tầng / cột Length</t>
  </si>
  <si>
    <t xml:space="preserve">24</t>
  </si>
  <si>
    <t xml:space="preserve">Bảng 8SP77, dòng 8SP77-03</t>
  </si>
  <si>
    <t xml:space="preserve">Length 891 (khối lượng 29.0)</t>
  </si>
  <si>
    <t xml:space="preserve">819 (bước 128 mm; 8SP95-03 = 819); khối lượng kiểm lại (8SP95-03 = 26.7)</t>
  </si>
  <si>
    <t xml:space="preserve">Bảng 8SP77, dòng 8SP77-17</t>
  </si>
  <si>
    <t xml:space="preserve">63 kW = 82 HP</t>
  </si>
  <si>
    <t xml:space="preserve">85 HP (như 8SP95, 8SP120)</t>
  </si>
  <si>
    <t xml:space="preserve">Ghi chú 8SP77</t>
  </si>
  <si>
    <t xml:space="preserve">2 dòng "Diffuser height" (128 và 104 mm) nhưng chỉ có 1 cột Length1</t>
  </si>
  <si>
    <t xml:space="preserve">Bỏ dòng thừa</t>
  </si>
  <si>
    <t xml:space="preserve">26</t>
  </si>
  <si>
    <t xml:space="preserve">Bảng 8SP95, hàng l/min</t>
  </si>
  <si>
    <t xml:space="preserve">1593 ứng 95 m³/h</t>
  </si>
  <si>
    <t xml:space="preserve">1583</t>
  </si>
  <si>
    <t xml:space="preserve">95 m³/h × 16,67</t>
  </si>
  <si>
    <t xml:space="preserve">Bảng 8SP95, dòng 8SP95-08, cột 95 m³/h</t>
  </si>
  <si>
    <t xml:space="preserve">93</t>
  </si>
  <si>
    <t xml:space="preserve">≈96</t>
  </si>
  <si>
    <t xml:space="preserve">12 m/tầng</t>
  </si>
  <si>
    <t xml:space="preserve">27</t>
  </si>
  <si>
    <t xml:space="preserve">25</t>
  </si>
  <si>
    <t xml:space="preserve">Sơ đồ ký hiệu trang 8SP120</t>
  </si>
  <si>
    <t xml:space="preserve">"8 SP 120 5 - 22"</t>
  </si>
  <si>
    <t xml:space="preserve">"5 - 30" (8SP120-05 là 30 kW)</t>
  </si>
  <si>
    <t xml:space="preserve">Bảng trang 26</t>
  </si>
  <si>
    <t xml:space="preserve">28</t>
  </si>
  <si>
    <t xml:space="preserve">Bảng 8SP120, hàng l/min</t>
  </si>
  <si>
    <t xml:space="preserve">1000-1333-1500-1593-1666-1833 (chép từ 8SP95) ứng 60-100-110-120-130-150 m³/h</t>
  </si>
  <si>
    <t xml:space="preserve">1000-1667-1833-2000-2167-2500</t>
  </si>
  <si>
    <t xml:space="preserve">Bảng 8SP120, dòng 8SP120-04, cột 130 m³/h</t>
  </si>
  <si>
    <t xml:space="preserve">10 (nhỏ hơn cả cột 150 = 13)</t>
  </si>
  <si>
    <t xml:space="preserve">≈40</t>
  </si>
  <si>
    <t xml:space="preserve">10 m/tầng ở cột này</t>
  </si>
  <si>
    <t xml:space="preserve">Bảng 8SP120</t>
  </si>
  <si>
    <t xml:space="preserve">8SP120-02 cột 150 m³/h = 9; Length 8SP120-10 = 1717</t>
  </si>
  <si>
    <t xml:space="preserve">≈6–7; 1715 (bước 128 mm)</t>
  </si>
  <si>
    <t xml:space="preserve">30</t>
  </si>
  <si>
    <t xml:space="preserve">Bảng 10SP125, hàng l/min</t>
  </si>
  <si>
    <t xml:space="preserve">2000 ứng 125 m³/h</t>
  </si>
  <si>
    <t xml:space="preserve">2083 (hoặc đổi m³/h thành 120)</t>
  </si>
  <si>
    <t xml:space="preserve">125 m³/h × 16,67</t>
  </si>
  <si>
    <t xml:space="preserve">Bảng 10SP125, dòng 10SP125-05, cột 140 m³/h</t>
  </si>
  <si>
    <t xml:space="preserve">95</t>
  </si>
  <si>
    <t xml:space="preserve">≈85</t>
  </si>
  <si>
    <t xml:space="preserve">Tỉ lệ tầng</t>
  </si>
  <si>
    <t xml:space="preserve">32</t>
  </si>
  <si>
    <t xml:space="preserve">Bảng 10SP160</t>
  </si>
  <si>
    <t xml:space="preserve">10SP160-05 cột 100 m³/h = 135; 10SP160-07 cột 180 m³/h = 136</t>
  </si>
  <si>
    <t xml:space="preserve">125; 126</t>
  </si>
  <si>
    <t xml:space="preserve">25 m/tầng và 18 m/tầng ở các cột này</t>
  </si>
  <si>
    <t xml:space="preserve">Bảng 10SP160, dòng 10SP160-03, cột 180 m³/h</t>
  </si>
  <si>
    <t xml:space="preserve">52</t>
  </si>
  <si>
    <t xml:space="preserve">≈54</t>
  </si>
  <si>
    <t xml:space="preserve">18 m/tầng</t>
  </si>
  <si>
    <t xml:space="preserve">"Kw/KW/Hp"; tên model lúc có số 0 lúc không (4SP2-6 / 4SP3-06)</t>
  </si>
  <si>
    <t xml:space="preserve">Thống nhất kW, HP và cách ghi model</t>
  </si>
  <si>
    <t xml:space="preserve">1</t>
  </si>
  <si>
    <t xml:space="preserve">Operating conditions</t>
  </si>
  <si>
    <t xml:space="preserve">"2SD minimum well diameter", "2.5SD minimum well diameter"</t>
  </si>
  <si>
    <t xml:space="preserve">2SS / 2.5SS (bản Redpump đã ghi đúng 2SL)</t>
  </si>
  <si>
    <t xml:space="preserve">Tên dòng sản phẩm</t>
  </si>
  <si>
    <t xml:space="preserve">Perotac bơm giếng SA_compressed.pdf; Redpump gieng SL_compressed.pdf</t>
  </si>
  <si>
    <t xml:space="preserve">Biểu đồ 2.5SS1.5 / 2.5SL1.5</t>
  </si>
  <si>
    <t xml:space="preserve">Nhãn ".../24" xuất hiện 2 lần; đường ≈46 m không có nhãn /17</t>
  </si>
  <si>
    <t xml:space="preserve">Đổi nhãn thứ 2 thành 2.5SS1.5/17 (2.5SL1.5/17)</t>
  </si>
  <si>
    <t xml:space="preserve">Bảng kích thước 2.5SS(M)1.5/24 – 2.5SL(M)1.5/24</t>
  </si>
  <si>
    <t xml:space="preserve">P 779 + M 787 = 1566 nhưng T ghi 1546</t>
  </si>
  <si>
    <t xml:space="preserve">Kiểm lại T (hoặc P/M)</t>
  </si>
  <si>
    <t xml:space="preserve">Cộng P+M các dòng khác đều khớp</t>
  </si>
  <si>
    <t xml:space="preserve">Bảng kích thước 3SS2 / 3SL2</t>
  </si>
  <si>
    <t xml:space="preserve">3SS2/11: T(T) 752 (444+288 = 732); 3SS2/15: T(T) 873 (535+308 = 843)</t>
  </si>
  <si>
    <t xml:space="preserve">732; 843</t>
  </si>
  <si>
    <t xml:space="preserve">T = P + M (các dòng khác đều khớp)</t>
  </si>
  <si>
    <t xml:space="preserve">Bảng khối lượng 3SS3 / 3SL3</t>
  </si>
  <si>
    <t xml:space="preserve">3SS3/26: M(T) 6.4 kg; 3SS3/31: M(T) 7.5 kg (tổng T(T) không khớp)</t>
  </si>
  <si>
    <t xml:space="preserve">7.5 kg; 8.7 kg (cùng động cơ dài 408/448 mm như bảng 3SS2)</t>
  </si>
  <si>
    <t xml:space="preserve">T = P + M</t>
  </si>
  <si>
    <t xml:space="preserve">Bảng kích thước 4SA3 / 4SL3</t>
  </si>
  <si>
    <t xml:space="preserve">4SA3/10: T(S) 814 (490+329 = 819); 4SA3/35: T(S) 1664 (1194+594 = 1788, chép từ 4SA4/28)</t>
  </si>
  <si>
    <t xml:space="preserve">819; 1788</t>
  </si>
  <si>
    <t xml:space="preserve">Bảng kích thước 4SA8 / 4SL8, dòng 4SA8/6</t>
  </si>
  <si>
    <t xml:space="preserve">P 475 mm / 3.3 kg nhưng T(S) 872, T(T) 857, 12.6 kg, 11.9 kg (lệch 38 mm và 0.6 kg)</t>
  </si>
  <si>
    <t xml:space="preserve">Đối chiếu tài liệu NCC (nếu T đúng thì P = 513 mm / 3.9 kg)</t>
  </si>
  <si>
    <t xml:space="preserve">Bảng kích thước 4SA12 / 4SL12, dòng 4SA12/32</t>
  </si>
  <si>
    <t xml:space="preserve">P 2143 + M 908 = 3051 nhưng T(T) ghi 3020</t>
  </si>
  <si>
    <t xml:space="preserve">P = 2112 (1944 + 3×56) hoặc T = 3051</t>
  </si>
  <si>
    <t xml:space="preserve">4–8</t>
  </si>
  <si>
    <t xml:space="preserve">Bảng thông số 4SA/4SL (nhiều dòng)</t>
  </si>
  <si>
    <t xml:space="preserve">Động cơ ghi 5 kW / 7 HP và 7 kW / 10 HP</t>
  </si>
  <si>
    <t xml:space="preserve">Catalogue Aquaris SA ghi 5,5 kW/7,5 HP và 7,5 kW/10 HP – anh xác nhận theo tem động cơ</t>
  </si>
  <si>
    <t xml:space="preserve">Không phải cấp công suất chuẩn</t>
  </si>
  <si>
    <t xml:space="preserve">Biểu đồ 6SA35 / 6SA45</t>
  </si>
  <si>
    <t xml:space="preserve">Ô tiêu đề ghi "6SA15", "6SA25"</t>
  </si>
  <si>
    <t xml:space="preserve">6SA35, 6SA45</t>
  </si>
  <si>
    <t xml:space="preserve">Đường cong trong biểu đồ</t>
  </si>
  <si>
    <t xml:space="preserve">Biểu đồ 4SL10 / 4SL12</t>
  </si>
  <si>
    <t xml:space="preserve">Ô tiêu đề ghi "4SL6", "4SL8"</t>
  </si>
  <si>
    <t xml:space="preserve">4SL10, 4SL12</t>
  </si>
  <si>
    <t xml:space="preserve">Biểu đồ 6SL35 / 6SL45</t>
  </si>
  <si>
    <t xml:space="preserve">Ô tiêu đề ghi "6SL15", "6SL25"; nhãn "6SL 35/20" có dấu cách</t>
  </si>
  <si>
    <t xml:space="preserve">6SL35, 6SL45; "6SL35/20"</t>
  </si>
  <si>
    <t xml:space="preserve">Tiêu đề trang 6SL</t>
  </si>
  <si>
    <t xml:space="preserve">"6SL."</t>
  </si>
  <si>
    <t xml:space="preserve">6SL</t>
  </si>
  <si>
    <t xml:space="preserve">Perotac bơm giếng SA_compressed.pdf; Redpump gieng SL_compressed.pdf; Perotac bơm giếng SP_compressed.pdf</t>
  </si>
  <si>
    <t xml:space="preserve">1,2,4,10 (SA); 1,4,10 (SL); 1,4,9,11 (SP)</t>
  </si>
  <si>
    <t xml:space="preserve">Perotac SA, Redpump SL: "Warranty: 1 years"; Perotac SP: "Warranty: 2 years"</t>
  </si>
  <si>
    <t xml:space="preserve">Anh chốt thời hạn bảo hành; sửa "1 years" → "1 year"</t>
  </si>
  <si>
    <t xml:space="preserve">Không thống nhất giữa 2 catalogue Perotac</t>
  </si>
  <si>
    <t xml:space="preserve">Bảng 6SP30, dòng 6SP30-6, cột 6 m³/h</t>
  </si>
  <si>
    <t xml:space="preserve">57 (thấp hơn cột 12 m³/h = 63)</t>
  </si>
  <si>
    <t xml:space="preserve">≈67</t>
  </si>
  <si>
    <t xml:space="preserve">11,1 m/tầng (6SP30-5 = 56, 6SP30-7 = 78)</t>
  </si>
  <si>
    <t xml:space="preserve">Bảng 6SP60, dòng 6SP60-20, 2 cột cuối</t>
  </si>
  <si>
    <t xml:space="preserve">110 / 80</t>
  </si>
  <si>
    <t xml:space="preserve">≈103 / ≈72 (theo 6SP60-18 × 20/18)</t>
  </si>
  <si>
    <t xml:space="preserve">Bảng kích thước 6SP46, dòng 6SP46-7</t>
  </si>
  <si>
    <t xml:space="preserve">T(T) 1767 (1063 + 764 = 1827)</t>
  </si>
  <si>
    <t xml:space="preserve">1827</t>
  </si>
  <si>
    <t xml:space="preserve">Bảng khối lượng 6SP46</t>
  </si>
  <si>
    <t xml:space="preserve">P 6SP46-18 = 40.6, 6SP46-20 = 42.8 (chỉ tăng 2,2 kg/2 tầng, các bước khác 4,4 kg)</t>
  </si>
  <si>
    <t xml:space="preserve">Kiểm lại</t>
  </si>
  <si>
    <t xml:space="preserve">Quy luật khối lượng</t>
  </si>
  <si>
    <t xml:space="preserve">Bảng 8SP77, dòng 8SP77-9, cột 24 m³/h</t>
  </si>
  <si>
    <t xml:space="preserve">1750</t>
  </si>
  <si>
    <t xml:space="preserve">175</t>
  </si>
  <si>
    <t xml:space="preserve">Đọc bảng</t>
  </si>
  <si>
    <t xml:space="preserve">1,4,9,11</t>
  </si>
  <si>
    <t xml:space="preserve">Tiêu đề trang</t>
  </si>
  <si>
    <t xml:space="preserve">Chữ "4SP/6SP/8SP/10SP" khác kiểu chữ với các catalogue Perotac SA</t>
  </si>
  <si>
    <t xml:space="preserve">Thống nhất font tiêu đề</t>
  </si>
  <si>
    <t xml:space="preserve">Ví dụ ký hiệu model</t>
  </si>
  <si>
    <t xml:space="preserve">"FS 15 15 1.5" – không có trong bảng (model dạng FS-35-7-2.2 … FS-150-20-15)</t>
  </si>
  <si>
    <t xml:space="preserve">Lấy 1 model có thật làm ví dụ</t>
  </si>
  <si>
    <t xml:space="preserve">Đối chiếu bảng</t>
  </si>
  <si>
    <t xml:space="preserve">2–3</t>
  </si>
  <si>
    <t xml:space="preserve">Tiêu đề bảng</t>
  </si>
  <si>
    <t xml:space="preserve">"(KW)"</t>
  </si>
  <si>
    <t xml:space="preserve">(kW)</t>
  </si>
  <si>
    <t xml:space="preserve">Bảng chi tiết</t>
  </si>
  <si>
    <t xml:space="preserve">Cỡ chữ không đều (dòng 5, 13 rất nhỏ; dòng 15, 18 to hơn); dòng 28 chạm viền ô</t>
  </si>
  <si>
    <t xml:space="preserve">Chỉnh cỡ chữ đồng nhất</t>
  </si>
  <si>
    <t xml:space="preserve">Aquaris FS_300dpi_75%.pdf; Catalog bơm nước thải Aquaris FS.pdf</t>
  </si>
  <si>
    <t xml:space="preserve">—</t>
  </si>
  <si>
    <t xml:space="preserve">Hai catalogue Aquaris FS</t>
  </si>
  <si>
    <t xml:space="preserve">2 file khác hẳn nhau: 4 trang (FS-35-7-2.2…FS-150-20-15, 2,2–15 kW) và 1 trang A3 (FS 75/40…FS 300/80, 0,55–2,2 kW)</t>
  </si>
  <si>
    <t xml:space="preserve">Anh xác nhận dùng bản nào / có cần phân biệt tên</t>
  </si>
  <si>
    <t xml:space="preserve">So 2 file</t>
  </si>
  <si>
    <t xml:space="preserve">Bảng PERFORMANCE – hàng m³/h</t>
  </si>
  <si>
    <t xml:space="preserve">Thiếu ô "48" dưới cột 800 l/min</t>
  </si>
  <si>
    <t xml:space="preserve">Thêm 48</t>
  </si>
  <si>
    <t xml:space="preserve">800 l/min = 48 m³/h; FS 300/80 có số liệu cột này</t>
  </si>
  <si>
    <t xml:space="preserve">Model FS 300/80</t>
  </si>
  <si>
    <t xml:space="preserve">Theo quy ước "Mandata (50=50mm)" thì cửa xả 80 mm, nhưng bảng ghi cửa xả 50 và ren G 2"</t>
  </si>
  <si>
    <t xml:space="preserve">Kiểm lại tên model hoặc cỡ cửa xả</t>
  </si>
  <si>
    <t xml:space="preserve">Bảng TECHNICAL DATA + kích thước</t>
  </si>
  <si>
    <t xml:space="preserve">Đoạn chữ Ý/Anh/Pháp</t>
  </si>
  <si>
    <t xml:space="preserve">Chữ chép OCR bị dính/sai: industrian, movimentazionee, utllizzare, peril sollevamentodl, inseritidei, spiacevolidanni, "50 FHz", "dean or slightly dirty", nothigherthan, "anda Schuko", threephase, trlphasé, "IPB8"</t>
  </si>
  <si>
    <t xml:space="preserve">industriali, movimentazione e, utilizzare, per il sollevamento di, inseriti dei, spiacevoli danni, 50 Hz, clean, not higher than, and a Schuko, three-phase, triphasé, IP68</t>
  </si>
  <si>
    <t xml:space="preserve">Đọc lớp chữ PDF</t>
  </si>
  <si>
    <t xml:space="preserve">Tiêu đề cột</t>
  </si>
  <si>
    <t xml:space="preserve">"FESI - WEIGHT", "Imballa", "CLOSEDIMPELLER", "PotenZa", "Kg³/m"</t>
  </si>
  <si>
    <t xml:space="preserve">PESI, Imballo, CLOSED IMPELLER, Potenza, kg/dm³</t>
  </si>
  <si>
    <t xml:space="preserve">Bảng số liệu</t>
  </si>
  <si>
    <t xml:space="preserve">Lẫn dấu thập phân "1.5 / 7.2 / 8.5" với "0,55 / 3,6 / 4,5"; "50HZ"; số "10", "14", "9" to hơn số khác</t>
  </si>
  <si>
    <t xml:space="preserve">Thống nhất dấu phẩy, cỡ chữ; 50 Hz</t>
  </si>
  <si>
    <t xml:space="preserve">Catalog cắt rác Aquaris WC.pdf; Catalog cắt rác perotac.pdf; Catalog cắt rác redpump.pdf</t>
  </si>
  <si>
    <t xml:space="preserve">Chú thích biểu đồ 50WC</t>
  </si>
  <si>
    <t xml:space="preserve">"50WC15-80-7.5"</t>
  </si>
  <si>
    <t xml:space="preserve">50WC15-40-7.5 (như bảng)</t>
  </si>
  <si>
    <t xml:space="preserve">1–8 (24 chỗ)</t>
  </si>
  <si>
    <t xml:space="preserve">Mục Applications</t>
  </si>
  <si>
    <t xml:space="preserve">"Agriculture irrugation"</t>
  </si>
  <si>
    <t xml:space="preserve">Agriculture irrigation</t>
  </si>
  <si>
    <t xml:space="preserve">Đọc lớp chữ</t>
  </si>
  <si>
    <t xml:space="preserve">Range 65WC</t>
  </si>
  <si>
    <t xml:space="preserve">Power "1.5-7.5kW"; Max head "36 m"</t>
  </si>
  <si>
    <t xml:space="preserve">1.5-5.5kW; 40 m</t>
  </si>
  <si>
    <t xml:space="preserve">Model lớn nhất 5,5 kW; 65WC25-35-5.5 cột áp 40 m</t>
  </si>
  <si>
    <t xml:space="preserve">Range 80WC</t>
  </si>
  <si>
    <t xml:space="preserve">Discharge "DN50"; ví dụ ký hiệu "80 WC 49 9 2.2"</t>
  </si>
  <si>
    <t xml:space="preserve">DN80; 80WC45-9-2.2</t>
  </si>
  <si>
    <t xml:space="preserve">Tên dòng 80WC; bảng cùng trang</t>
  </si>
  <si>
    <t xml:space="preserve">Range 100WC</t>
  </si>
  <si>
    <t xml:space="preserve">Max flow rate "250 m³/h"</t>
  </si>
  <si>
    <t xml:space="preserve">240 m³/h</t>
  </si>
  <si>
    <t xml:space="preserve">Bảng/biểu đồ tối đa 240</t>
  </si>
  <si>
    <t xml:space="preserve">Bảng 150WC, dòng 150WC200-20-18.5, cột 120 m³/h</t>
  </si>
  <si>
    <t xml:space="preserve">27 (dãy 40-37-34-32-27-26-23)</t>
  </si>
  <si>
    <t xml:space="preserve">≈29</t>
  </si>
  <si>
    <t xml:space="preserve">Biểu đồ cùng trang</t>
  </si>
  <si>
    <t xml:space="preserve">Range 300WC</t>
  </si>
  <si>
    <t xml:space="preserve">Discharge "DN350"</t>
  </si>
  <si>
    <t xml:space="preserve">DN300</t>
  </si>
  <si>
    <t xml:space="preserve">Tên dòng 300WC</t>
  </si>
  <si>
    <t xml:space="preserve">Bảng 50WC, dòng 50WC15-25-3 (lệch giữa 3 file)</t>
  </si>
  <si>
    <t xml:space="preserve">Aquaris: 30-29-27-25-21-16-8-4; Perotac &amp; Redpump: 28-27-26-25-21-16-8-1</t>
  </si>
  <si>
    <t xml:space="preserve">Thống nhất 1 bộ số</t>
  </si>
  <si>
    <t xml:space="preserve">So 3 file cùng model</t>
  </si>
  <si>
    <t xml:space="preserve">7–8</t>
  </si>
  <si>
    <t xml:space="preserve">Speed (lệch giữa 3 file)</t>
  </si>
  <si>
    <t xml:space="preserve">Aquaris &amp; Perotac: 1450 r.p.m; Redpump: 980 r.p.m</t>
  </si>
  <si>
    <t xml:space="preserve">Anh xác nhận tốc độ đúng</t>
  </si>
  <si>
    <t xml:space="preserve">So 3 file</t>
  </si>
  <si>
    <t xml:space="preserve">Model 95 kW (lệch giữa 3 file)</t>
  </si>
  <si>
    <t xml:space="preserve">Aquaris &amp; Perotac: 300WC950-20-95 (95 kW/130 HP); Redpump: 300WC950-20-90 (90 kW/120 HP)</t>
  </si>
  <si>
    <t xml:space="preserve">95 kW không phải cấp động cơ chuẩn – anh xác nhận</t>
  </si>
  <si>
    <t xml:space="preserve">1–8</t>
  </si>
  <si>
    <t xml:space="preserve">"WARRANTY: 1 years"</t>
  </si>
  <si>
    <t xml:space="preserve">Sửa "1 year"; Aquaris anh đã chốt 24 tháng</t>
  </si>
  <si>
    <t xml:space="preserve">Sheet1</t>
  </si>
  <si>
    <t xml:space="preserve">Bảng DELIVERY – cột lưu lượng (ô N23/N22)</t>
  </si>
  <si>
    <t xml:space="preserve">34 m³/h = 566,7 l/min (các cột khác cách đều 6 m³/h)</t>
  </si>
  <si>
    <t xml:space="preserve">36 m³/h = 600 l/min</t>
  </si>
  <si>
    <t xml:space="preserve">Dãy 6-9-12-18-24-30-[34]-42-48-54-60</t>
  </si>
  <si>
    <t xml:space="preserve">Options in request (ô A10)</t>
  </si>
  <si>
    <t xml:space="preserve">"Other voltages or frequency 50Hz"</t>
  </si>
  <si>
    <t xml:space="preserve">"…frequency 60Hz" (tiêu chuẩn đã là 50Hz)</t>
  </si>
  <si>
    <t xml:space="preserve">Đọc ô</t>
  </si>
  <si>
    <t xml:space="preserve">Motor and Pump (A8) và tiêu đề bảng (B22)</t>
  </si>
  <si>
    <t xml:space="preserve">"380 - 415V/50HZ" nhưng bảng ghi "380 - 420V"</t>
  </si>
  <si>
    <t xml:space="preserve">Thống nhất 380-415V; "50Hz"</t>
  </si>
  <si>
    <t xml:space="preserve">Motor and Pump (A8)</t>
  </si>
  <si>
    <t xml:space="preserve">"It's available to equip with floating switch", "It's can work in water containing fiber"</t>
  </si>
  <si>
    <t xml:space="preserve">"Available with float switch", "Can work in water containing fiber"</t>
  </si>
  <si>
    <t xml:space="preserve">Ngữ pháp</t>
  </si>
  <si>
    <t xml:space="preserve">Warranty (A11)</t>
  </si>
  <si>
    <t xml:space="preserve">"Warranty: 1 years"</t>
  </si>
  <si>
    <t xml:space="preserve">"1 year" – anh xác nhận thời hạn BH Perotac</t>
  </si>
  <si>
    <t xml:space="preserve">Ngữ pháp + thống nhất</t>
  </si>
  <si>
    <t xml:space="preserve">Dòng SSM-450F / SS-450</t>
  </si>
  <si>
    <t xml:space="preserve">0.55 kW – 0.8 HP (tên model các dòng = công suất W: 150, 180, 250, 750…)</t>
  </si>
  <si>
    <t xml:space="preserve">Nếu đúng 450 W: 0.45 kW/0.6 HP; nếu 0,55 kW: 0.75 HP</t>
  </si>
  <si>
    <t xml:space="preserve">Quy luật tên model + quy đổi</t>
  </si>
  <si>
    <t xml:space="preserve">Bảng</t>
  </si>
  <si>
    <t xml:space="preserve">SS-3000 bỏ trống ô model 1 pha; "Oil for food machinery." thừa dấu chấm; chữ "SS" dùng font .VnCooper (máy không có font sẽ hiển thị font khác)</t>
  </si>
  <si>
    <t xml:space="preserve">Ghi "-"; bỏ dấu chấm; đổi font Unicode</t>
  </si>
  <si>
    <t xml:space="preserve">KTZ - LH Perotac.pdf; KTZ - LH Redpump.pdf</t>
  </si>
  <si>
    <t xml:space="preserve">KTZ – Application/Feature</t>
  </si>
  <si>
    <t xml:space="preserve">"Civel engineering"; "build-in thermal protection"</t>
  </si>
  <si>
    <t xml:space="preserve">Civil engineering; built-in</t>
  </si>
  <si>
    <t xml:space="preserve">LH – mô tả</t>
  </si>
  <si>
    <t xml:space="preserve">"high preasure"</t>
  </si>
  <si>
    <t xml:space="preserve">high pressure</t>
  </si>
  <si>
    <t xml:space="preserve">Bảng KTZ 50Hz &amp; 60Hz, dòng KTZ67.5</t>
  </si>
  <si>
    <t xml:space="preserve">Rated 90 m³/h ↔ 1.60 m³/min</t>
  </si>
  <si>
    <t xml:space="preserve">1.50 m³/min</t>
  </si>
  <si>
    <t xml:space="preserve">90 ÷ 60 = 1,5</t>
  </si>
  <si>
    <t xml:space="preserve">Bảng KTZ 60Hz, dòng KTZ32.2</t>
  </si>
  <si>
    <t xml:space="preserve">Rated 30 m³/h ↔ 0.60 m³/min</t>
  </si>
  <si>
    <t xml:space="preserve">0.50 m³/min (hoặc 36 m³/h như bảng 50Hz)</t>
  </si>
  <si>
    <t xml:space="preserve">30 ÷ 60 = 0,5</t>
  </si>
  <si>
    <t xml:space="preserve">Biểu đồ LH 50Hz</t>
  </si>
  <si>
    <t xml:space="preserve">Nhãn "SH637"</t>
  </si>
  <si>
    <t xml:space="preserve">637</t>
  </si>
  <si>
    <t xml:space="preserve">Đọc biểu đồ</t>
  </si>
  <si>
    <t xml:space="preserve">Hình cắt KTZ</t>
  </si>
  <si>
    <t xml:space="preserve">Hình có số 03 nhưng bảng vật liệu không có mục 03; bảng có mục 11 nhưng hình không có số 11</t>
  </si>
  <si>
    <t xml:space="preserve">Bổ sung cho khớp</t>
  </si>
  <si>
    <t xml:space="preserve">Đối chiếu hình – bảng</t>
  </si>
  <si>
    <t xml:space="preserve">Bảng kích thước LH8110</t>
  </si>
  <si>
    <t xml:space="preserve">H = 1687, H1 = 1282 y hệt LH890 (LH6110 cao hơn LH690)</t>
  </si>
  <si>
    <t xml:space="preserve">So các model</t>
  </si>
  <si>
    <t xml:space="preserve">Tiêu đề</t>
  </si>
  <si>
    <t xml:space="preserve">"PERATING PRINCIPLE"</t>
  </si>
  <si>
    <t xml:space="preserve">OPERATING PRINCIPLE</t>
  </si>
  <si>
    <t xml:space="preserve">Đoạn mô tả nguyên lý</t>
  </si>
  <si>
    <t xml:space="preserve">"Intolet", "Maximun", "The gas it taken in though the inlet1", "dischargring it though"</t>
  </si>
  <si>
    <t xml:space="preserve">Inlet, Maximum, "The gas is taken in through the inlet 1", "discharging it through"</t>
  </si>
  <si>
    <t xml:space="preserve">"EXPLOSIVE VIEW"</t>
  </si>
  <si>
    <t xml:space="preserve">EXPLODED VIEW</t>
  </si>
  <si>
    <t xml:space="preserve">Thuật ngữ</t>
  </si>
  <si>
    <t xml:space="preserve">10, 12</t>
  </si>
  <si>
    <t xml:space="preserve">Bảng GB-2200, GB-3000S</t>
  </si>
  <si>
    <t xml:space="preserve">Một số ô ("14.8(17.7)", "50(60)", "390(435)") khác font/độ đậm – lộ dấu vết sửa</t>
  </si>
  <si>
    <t xml:space="preserve">Đồng bộ font các ô</t>
  </si>
  <si>
    <t xml:space="preserve">Xem phóng to</t>
  </si>
  <si>
    <t xml:space="preserve">22–25</t>
  </si>
  <si>
    <t xml:space="preserve">Tiêu đề biểu đồ</t>
  </si>
  <si>
    <t xml:space="preserve">"Performance Curve of gb Series"</t>
  </si>
  <si>
    <t xml:space="preserve">GB Series</t>
  </si>
  <si>
    <t xml:space="preserve">28–29</t>
  </si>
  <si>
    <t xml:space="preserve">Ô ứng dụng</t>
  </si>
  <si>
    <t xml:space="preserve">Chữ dịch máy sai: "Wash the battle machine", "Subpoena transport", "entwork edition", "cottom", "Ox milk"…; trang 29 lặp phụ đề của trang 28</t>
  </si>
  <si>
    <t xml:space="preserve">Viết lại câu ứng dụng</t>
  </si>
  <si>
    <t xml:space="preserve">Bảng kích thước</t>
  </si>
  <si>
    <t xml:space="preserve">L1 của GB-1100 và GB-1500 = 30 (các model khác 62–113)</t>
  </si>
  <si>
    <t xml:space="preserve">So các dòng</t>
  </si>
  <si>
    <t xml:space="preserve">Đơn vị</t>
  </si>
  <si>
    <t xml:space="preserve">Kpa, HZ, KW, KG</t>
  </si>
  <si>
    <t xml:space="preserve">kPa, Hz, kW, kg</t>
  </si>
  <si>
    <t xml:space="preserve">Chuẩn đơn vị</t>
  </si>
  <si>
    <t xml:space="preserve">Tiêu đề mục ưu điểm</t>
  </si>
  <si>
    <t xml:space="preserve">"Advantages of SHOWFOU 3 LOBES ROOTS BLOWER" – sót tên hãng khác</t>
  </si>
  <si>
    <t xml:space="preserve">Advantages of PEROTAC 3 LOBES ROOTS BLOWER</t>
  </si>
  <si>
    <t xml:space="preserve">Giải thích ký hiệu</t>
  </si>
  <si>
    <t xml:space="preserve">"RLV/RWV: Complete Set … For Pressure Operation"</t>
  </si>
  <si>
    <t xml:space="preserve">For Vacuum Operation</t>
  </si>
  <si>
    <t xml:space="preserve">RLV/RWV là bộ chân không</t>
  </si>
  <si>
    <t xml:space="preserve">Bảng SPECIFICATIONS, hàng RW 50</t>
  </si>
  <si>
    <t xml:space="preserve">Cột VACUUM ghi "RWC-50"</t>
  </si>
  <si>
    <t xml:space="preserve">RWV-50</t>
  </si>
  <si>
    <t xml:space="preserve">Các hàng khác ghi RWV-xx</t>
  </si>
  <si>
    <t xml:space="preserve">"NOAME"</t>
  </si>
  <si>
    <t xml:space="preserve">NAME</t>
  </si>
  <si>
    <t xml:space="preserve">Hướng dẫn chọn</t>
  </si>
  <si>
    <t xml:space="preserve">"the moldel number"</t>
  </si>
  <si>
    <t xml:space="preserve">model number</t>
  </si>
  <si>
    <t xml:space="preserve">Bảng quy đổi áp suất, hàng 1 mmHg</t>
  </si>
  <si>
    <t xml:space="preserve">0.013 atm; 0.1338 kPa</t>
  </si>
  <si>
    <t xml:space="preserve">0.00132 atm; 0.1333 kPa</t>
  </si>
  <si>
    <t xml:space="preserve">1 atm = 760 mmHg</t>
  </si>
  <si>
    <t xml:space="preserve">Bảng quy đổi lưu lượng, hàng 1 U.S. GPM</t>
  </si>
  <si>
    <t xml:space="preserve">3.4785 ℓ/min</t>
  </si>
  <si>
    <t xml:space="preserve">3.785 ℓ/min</t>
  </si>
  <si>
    <t xml:space="preserve">1 gal = 3,785 L</t>
  </si>
  <si>
    <t xml:space="preserve">5–6</t>
  </si>
  <si>
    <t xml:space="preserve">Bảng tra RL theo vòng quay</t>
  </si>
  <si>
    <t xml:space="preserve">Một số ô đi ngược quy luật: RL-40 4000mmAq 1100rpm kW 1.34 (≈1.28); RL-50 4000mmAq 1100rpm 2.24 (≈2.14); RL-65 8000mmAq 1600rpm 8.28 (≈7.8, hàng 1700 = 8.30); RL-125 7000mmAq 1000rpm lưu lượng 11.79 &gt; 11.72 ở 6000mmAq, kW 1500rpm 35.46 &gt; 1600rpm 34.75; RL-150 2000mmAq 1300rpm kW 12.58 (≈11.9), 8000mmAq 1600rpm 48.79 &lt; 1500rpm 48.86</t>
  </si>
  <si>
    <t xml:space="preserve">Đối chiếu bảng gốc NCC (RL-80/100/125/150 còn nhiều ô tăng không đều)</t>
  </si>
  <si>
    <t xml:space="preserve">So hàng trên/dưới</t>
  </si>
  <si>
    <t xml:space="preserve">Biểu đồ</t>
  </si>
  <si>
    <t xml:space="preserve">Nhãn trục "Static Pressurs" (10 biểu đồ); tiêu đề "RLC-80 (RWC-80)" khác kiểu các biểu đồ còn lại</t>
  </si>
  <si>
    <t xml:space="preserve">Static Pressure; RL-80 (RW-80)</t>
  </si>
  <si>
    <t xml:space="preserve">Bảng DSS</t>
  </si>
  <si>
    <t xml:space="preserve">DSS125 cột D = 15 (các cỡ khác 80→350)</t>
  </si>
  <si>
    <t xml:space="preserve">Bảng 90° ELBOW</t>
  </si>
  <si>
    <t xml:space="preserve">"NDE00"</t>
  </si>
  <si>
    <t xml:space="preserve">NDE100</t>
  </si>
  <si>
    <t xml:space="preserve">Mục motor</t>
  </si>
  <si>
    <t xml:space="preserve">"Tanadem Type Motor"</t>
  </si>
  <si>
    <t xml:space="preserve">Tandem</t>
  </si>
  <si>
    <t xml:space="preserve">"liguid chemical"; "Raint, etc" (chữ tràn viền ô)</t>
  </si>
  <si>
    <t xml:space="preserve">liquid; Paint, etc</t>
  </si>
  <si>
    <t xml:space="preserve">Logo chứng nhận</t>
  </si>
  <si>
    <t xml:space="preserve">ISO 9001 BSMI, ISO-9001/CNS12681, CE lấy từ catalogue gốc</t>
  </si>
  <si>
    <t xml:space="preserve">Anh cân nhắc giữ/bỏ</t>
  </si>
  <si>
    <t xml:space="preserve">Bơm trục đứng CDLF Aquaris.pdf; Bơm trục đứng Perotac CDLF.pdf</t>
  </si>
  <si>
    <t xml:space="preserve">Bảng Size CDLF32 (9 dòng CDLF32-8 … -16)</t>
  </si>
  <si>
    <t xml:space="preserve">Cột B2 chép bằng B1 (1100/1100, 1170/1170 … 1660/1660) nên B1+B2 không khớp</t>
  </si>
  <si>
    <t xml:space="preserve">B2 = 500, 550, 550, 575, 575, 650, 650, 650, 650</t>
  </si>
  <si>
    <t xml:space="preserve">B1+B2 − B1</t>
  </si>
  <si>
    <t xml:space="preserve">Bảng Size CDLF12-5</t>
  </si>
  <si>
    <t xml:space="preserve">B1 400 + B2 350 = 750 nhưng ghi 740</t>
  </si>
  <si>
    <t xml:space="preserve">Kiểm lại B1 (có thể 390) hoặc tổng 750</t>
  </si>
  <si>
    <t xml:space="preserve">Cộng B1+B2</t>
  </si>
  <si>
    <t xml:space="preserve">Bảng hiệu suất CDLF8, dòng CDLF8-12, cột 10 m³/h</t>
  </si>
  <si>
    <t xml:space="preserve">92</t>
  </si>
  <si>
    <t xml:space="preserve">≈97</t>
  </si>
  <si>
    <t xml:space="preserve">8,1 m/tầng (CDLF8-10 = 81, CDLF8-14 = 113)</t>
  </si>
  <si>
    <t xml:space="preserve">Bảng hiệu suất CDLF32 – tên model</t>
  </si>
  <si>
    <t xml:space="preserve">16 dòng đầu ghi theo số tầng (32-8-2, 32-8) nhưng từ dòng 17 ghi ×10 ("32-90-2" … "32-160")</t>
  </si>
  <si>
    <t xml:space="preserve">32-9-2 … 32-16 như bảng Size</t>
  </si>
  <si>
    <t xml:space="preserve">So 2 bảng cùng trang</t>
  </si>
  <si>
    <t xml:space="preserve">Bảng Max. Working pressure</t>
  </si>
  <si>
    <t xml:space="preserve">Ký hiệu "3(*)" nhưng chú thích "*: For curve 4", "**: For curve 3"</t>
  </si>
  <si>
    <t xml:space="preserve">Sửa chú thích cho khớp ký hiệu</t>
  </si>
  <si>
    <t xml:space="preserve">03–05</t>
  </si>
  <si>
    <t xml:space="preserve">Chính tả</t>
  </si>
  <si>
    <t xml:space="preserve">"parallcl", "shown bellow", "intergrate impeller", "flow is effected", "pres-sure-resistant", "CDLF is a kind of multinational products"</t>
  </si>
  <si>
    <t xml:space="preserve">parallel, below, integral impeller, affected, pressure-resistant, viết lại câu</t>
  </si>
  <si>
    <t xml:space="preserve">Biểu đồ phạm vi / bảng</t>
  </si>
  <si>
    <t xml:space="preserve">Nhãn CDL2…CDL42 (thiếu F); "Dn25/Dn32/Dn40" lẫn với "DN50"</t>
  </si>
  <si>
    <t xml:space="preserve">CDLF2…CDLF42; DN25…</t>
  </si>
  <si>
    <t xml:space="preserve">1, 3</t>
  </si>
  <si>
    <t xml:space="preserve">01, 05</t>
  </si>
  <si>
    <t xml:space="preserve">Ảnh bìa + bảng vật liệu</t>
  </si>
  <si>
    <t xml:space="preserve">Ảnh có bơm đế gang màu đen; bảng ghi "Base plate: Cast iron ASTM25B"</t>
  </si>
  <si>
    <t xml:space="preserve">Anh đã chốt 25/09: Perotac CDLF thật đế inox – thay ảnh và sửa vật liệu đế? (bản Aquaris dùng cùng ảnh, cùng bảng)</t>
  </si>
  <si>
    <t xml:space="preserve">Bảng 2900 v/p, dòng 50-250(I)</t>
  </si>
  <si>
    <t xml:space="preserve">1.5 kW / 2 HP cho 25 m³/h × 80 m (biến thể A, B đã 11 kW)</t>
  </si>
  <si>
    <t xml:space="preserve">Tối thiểu bằng biến thể A (11 kW); dòng tương tự 65-250(I) dùng cấp lớn hơn biến thể A – anh xác nhận theo NCC (thường 15 kW/20 HP)</t>
  </si>
  <si>
    <t xml:space="preserve">Công suất thủy lực 25 m³/h × 80 m ≈ 5,5 kW &gt; 1,5 kW</t>
  </si>
  <si>
    <t xml:space="preserve">Bảng 2900 v/p, dòng 65-100(I) và 80-100</t>
  </si>
  <si>
    <t xml:space="preserve">Cột áp 125 m (bơm cánh 100, 3 kW)</t>
  </si>
  <si>
    <t xml:space="preserve">12.5 m (mọi model cánh 100 khác đều 12.5 m; biến thể A = 10 m)</t>
  </si>
  <si>
    <t xml:space="preserve">Công suất thủy lực 50 m³/h × 125 m ≈ 17 kW ≫ 3 kW</t>
  </si>
  <si>
    <t xml:space="preserve">Bảng 1450 v/p, dòng 300-400/4 và 300-400A/4</t>
  </si>
  <si>
    <t xml:space="preserve">110 kW cho 720 m³/h × 50 m (thủy lực ≈ 98 kW)</t>
  </si>
  <si>
    <t xml:space="preserve">Kiểm lại công suất (thường ≥ 132 kW)</t>
  </si>
  <si>
    <t xml:space="preserve">Công suất thủy lực</t>
  </si>
  <si>
    <t xml:space="preserve">Mô tả</t>
  </si>
  <si>
    <t xml:space="preserve">"Availble equipped with explosion-proof motors"</t>
  </si>
  <si>
    <t xml:space="preserve">Available with explosion-proof motors</t>
  </si>
  <si>
    <t xml:space="preserve">3M Aquaris.pdf; 3M Perotac.pdf</t>
  </si>
  <si>
    <t xml:space="preserve">"LÍMITES UTILIZACIóN/UTILIS ATION LIMITES"; "CóDIGO M ODELO"</t>
  </si>
  <si>
    <t xml:space="preserve">LÍMITES DE UTILIZACIÓN / LIMITES D'UTILISATION; CÓDIGO MODELO</t>
  </si>
  <si>
    <t xml:space="preserve">Tiêu đề bảng vật liệu</t>
  </si>
  <si>
    <t xml:space="preserve">"DESCRIPCIóN DE MA TERIAL"</t>
  </si>
  <si>
    <t xml:space="preserve">DESCRIPCIÓN DE MATERIAL</t>
  </si>
  <si>
    <t xml:space="preserve">Chữ</t>
  </si>
  <si>
    <t xml:space="preserve">"Rated power(kw)", "kw"; "T amaño"; "inox304"; hàng 3M 65-200/150 không có dấu "-" ở ô trống</t>
  </si>
  <si>
    <t xml:space="preserve">kW; Tamaño; inox 304; thêm "-"</t>
  </si>
  <si>
    <t xml:space="preserve">Đoạn tiếng Anh</t>
  </si>
  <si>
    <t xml:space="preserve">"temperatures not higher thaCM 80°C" (lỗi thay chữ N→CM)</t>
  </si>
  <si>
    <t xml:space="preserve">than 80°C</t>
  </si>
  <si>
    <t xml:space="preserve">Đoạn tiếng Ý/Pháp</t>
  </si>
  <si>
    <t xml:space="preserve">Chữ đè lên nhau: "supporto in ghisa G20", "support en fonte G20"</t>
  </si>
  <si>
    <t xml:space="preserve">Tách chữ</t>
  </si>
  <si>
    <t xml:space="preserve">Ô tiêu đề biểu đồ</t>
  </si>
  <si>
    <t xml:space="preserve">"N" (tên dòng gốc)</t>
  </si>
  <si>
    <t xml:space="preserve">CM</t>
  </si>
  <si>
    <t xml:space="preserve">Bảng linh kiện</t>
  </si>
  <si>
    <t xml:space="preserve">"Girante - Impeller (N 32/200 A-B - N 40 - N 50 - N 65 - N 80)", "Piedino - Foot (N 40-160 A B - N 50-125 A B)"</t>
  </si>
  <si>
    <t xml:space="preserve">Đổi "N" → "CM"</t>
  </si>
  <si>
    <t xml:space="preserve">Số 46 dùng cho 2 chi tiết (Piedino Plastica / Piedino FE)</t>
  </si>
  <si>
    <t xml:space="preserve">Đánh số riêng</t>
  </si>
  <si>
    <t xml:space="preserve">Bảng đóng gói</t>
  </si>
  <si>
    <t xml:space="preserve">CM 80-160 B 810x530x360 (thùng 810 khác: 810x570x360); CM 80-160 F 660x530x350 (thùng 660 khác: 660x520x350)</t>
  </si>
  <si>
    <t xml:space="preserve">T = "724,50" (các ô khác số nguyên)</t>
  </si>
  <si>
    <t xml:space="preserve">724.5 hoặc 725</t>
  </si>
  <si>
    <t xml:space="preserve">Bảng thông số, dòng CDX90/10</t>
  </si>
  <si>
    <t xml:space="preserve">Dòng điện 380V "18"</t>
  </si>
  <si>
    <t xml:space="preserve">1.8</t>
  </si>
  <si>
    <t xml:space="preserve">Các model 0,75 kW khác 1.8 A</t>
  </si>
  <si>
    <t xml:space="preserve">Bảng thông số + bảng kích thước</t>
  </si>
  <si>
    <t xml:space="preserve">"CDX200/185" lặp 2 hàng với khối lượng/kiện khác nhau (21.3 kg 420x260x295 896 / 20.5 kg 410X260X295 922)</t>
  </si>
  <si>
    <t xml:space="preserve">Hàng 2 có lẽ là CDX200/185-B (như CDX200/150-B)</t>
  </si>
  <si>
    <t xml:space="preserve">3–5</t>
  </si>
  <si>
    <t xml:space="preserve">"Techni cal par ameter list"; "Reted head", "Reted flow"; "(Kw)"</t>
  </si>
  <si>
    <t xml:space="preserve">Technical parameter list; Rated; (kW)</t>
  </si>
  <si>
    <t xml:space="preserve">"Pump housring component", "O-Rring", "Flanqe Cover Pad", "Spring washar"</t>
  </si>
  <si>
    <t xml:space="preserve">housing, O-Ring, Flange, washer</t>
  </si>
  <si>
    <t xml:space="preserve">1, 4</t>
  </si>
  <si>
    <t xml:space="preserve">Định nghĩa ký hiệu model</t>
  </si>
  <si>
    <t xml:space="preserve">Số cuối = "Rated Power" nhưng CDX90/05 = 0,55 kW/0,75 HP, CDX90/15 = 1,0 kW/1,3 HP lệch quy luật HP×10; số đầu = lưu lượng l/min nhưng CDX90 ghi 4,2 m³/h (70 l/min)</t>
  </si>
  <si>
    <t xml:space="preserve">4–5</t>
  </si>
  <si>
    <t xml:space="preserve">Đường cong đánh số 1–7 / 1–4 nhưng không chú thích số nào là model nào; trang 5 có 5 model nhưng 4 đường</t>
  </si>
  <si>
    <t xml:space="preserve">Thêm chú thích</t>
  </si>
  <si>
    <t xml:space="preserve">1–2</t>
  </si>
  <si>
    <t xml:space="preserve">"steelhorizontal" dính chữ; tiêu đề "CDX 90 / 120 /200" cách không đều</t>
  </si>
  <si>
    <t xml:space="preserve">Tách chữ, căn lại</t>
  </si>
  <si>
    <t xml:space="preserve">Bảng TECHNICAL DATA – cột cuối (L14)</t>
  </si>
  <si>
    <t xml:space="preserve">Tiêu đề "Max Head (m)" (trùng cột 4) nhưng số liệu là 2900</t>
  </si>
  <si>
    <t xml:space="preserve">Speed (rpm)</t>
  </si>
  <si>
    <t xml:space="preserve">Cột HP (D16:D22 = kW/0.75, định dạng 0.0)</t>
  </si>
  <si>
    <t xml:space="preserve">Hiện 2.9 (2,2 kW), 4.9 (3,7 kW), 6.7 (5 kW)</t>
  </si>
  <si>
    <t xml:space="preserve">Ghi giá trị chuẩn: 2,2 kW = 3 HP…</t>
  </si>
  <si>
    <t xml:space="preserve">Công thức trong ô</t>
  </si>
  <si>
    <t xml:space="preserve">Dòng DWO400, DWO500</t>
  </si>
  <si>
    <t xml:space="preserve">3.7 kW và 5 kW, trong khi tên model theo HP×100 (DWO100 = 1 HP … DWO300 = 3 HP)</t>
  </si>
  <si>
    <t xml:space="preserve">Có thể đúng là 3 kW (4 HP) và 3,7 kW (5 HP) – anh xác nhận</t>
  </si>
  <si>
    <t xml:space="preserve">Quy luật tên model</t>
  </si>
  <si>
    <t xml:space="preserve">Ảnh bảng linh kiện</t>
  </si>
  <si>
    <t xml:space="preserve">Vật liệu cánh quạt "Noiyl"</t>
  </si>
  <si>
    <t xml:space="preserve">Nylon</t>
  </si>
  <si>
    <t xml:space="preserve">Xem ảnh</t>
  </si>
  <si>
    <t xml:space="preserve">In ấn</t>
  </si>
  <si>
    <t xml:space="preserve">Ảnh bảng linh kiện dài quá khổ, khi in dòng 14 "Fan cover" sang trang 2; "(kw)", "(m3/h)"</t>
  </si>
  <si>
    <t xml:space="preserve">Thu nhỏ ảnh/đặt vùng in; (kW), m³/h</t>
  </si>
  <si>
    <t xml:space="preserve">Xuất thử PDF</t>
  </si>
  <si>
    <t xml:space="preserve">bơm trục ngnag perotac model CM.pdf; bơm trục ngnag redpump model CM_300dpi_75%.pdf</t>
  </si>
  <si>
    <t xml:space="preserve">Ô chú thích thiết kế</t>
  </si>
  <si>
    <t xml:space="preserve">"Original design by Aquaris (Patent no.201530478502.0)", "Diseño original de Aquaris", "Design original par Aquaris" – catalogue Perotac/Redpump còn tên Aquaris</t>
  </si>
  <si>
    <t xml:space="preserve">Đổi tên hãng hoặc bỏ dòng này</t>
  </si>
  <si>
    <t xml:space="preserve">Bảng thông số</t>
  </si>
  <si>
    <t xml:space="preserve">"CM 32-250/5.5" và "CM 32-250/7.5" xuất hiện 2 lần với số liệu khác nhau</t>
  </si>
  <si>
    <t xml:space="preserve">Kiểm lại tên model 2 dòng sau (có thể là 32-250 A/B)</t>
  </si>
  <si>
    <t xml:space="preserve">"CM 100-160/220" (22 kW)</t>
  </si>
  <si>
    <t xml:space="preserve">CM 100-160/22</t>
  </si>
  <si>
    <t xml:space="preserve">Chân trang</t>
  </si>
  <si>
    <t xml:space="preserve">"Performance curve in page 111-129 / 130-141" – catalogue chỉ 2 trang</t>
  </si>
  <si>
    <t xml:space="preserve">Bỏ dòng tham chiếu</t>
  </si>
  <si>
    <t xml:space="preserve">"CM also available / también disponible / aussi disponible" bỏ lửng; "Rated power(kw)"; "disenadas"</t>
  </si>
  <si>
    <t xml:space="preserve">Bổ sung hoặc bỏ; kW; diseñadas</t>
  </si>
  <si>
    <t xml:space="preserve">tên file</t>
  </si>
  <si>
    <t xml:space="preserve">Tên file</t>
  </si>
  <si>
    <t xml:space="preserve">"ngnag"</t>
  </si>
  <si>
    <t xml:space="preserve">ngang</t>
  </si>
  <si>
    <t xml:space="preserve">Giếng/Nước thải/Trục ngang</t>
  </si>
  <si>
    <t xml:space="preserve">Redpump (giếng SL, cắt rác, KTZ-LH, CM)</t>
  </si>
  <si>
    <t xml:space="preserve">logo</t>
  </si>
  <si>
    <t xml:space="preserve">Logo Redpump</t>
  </si>
  <si>
    <t xml:space="preserve">"Italy Standard"</t>
  </si>
  <si>
    <t xml:space="preserve">Web đã đổi cách ghi Redpump = "Trung Quốc (tiêu chuẩn Ý)" (27/09) – anh xem có cần đổi trên catalogue</t>
  </si>
  <si>
    <t xml:space="preserve">CÁCH KIỂM TRA VÀ LƯU Ý</t>
  </si>
  <si>
    <t xml:space="preserve">PHẠM VI</t>
  </si>
  <si>
    <t xml:space="preserve">Toàn bộ 25 file trong thư mục "Catalog Sua": 23 PDF (210 trang) + 2 Excel. Không sửa file gốc.</t>
  </si>
  <si>
    <t xml:space="preserve">BẢN MỚI</t>
  </si>
  <si>
    <t xml:space="preserve">Đã tạo thư mục "Catalog Sua\BẢN MỚI 01-10-2026" giữ nguyên cấu trúc 5 thư mục con; mỗi file là bản sao y hệt bản cũ, tên thêm " (bản mới)". Đã so mã băm SHA-256: 25/25 file trùng khớp 100% với bản cũ (font, màu, bố cục giữ nguyên). Khi anh duyệt lỗi nào, em sửa trong bản mới, giữ đúng font/màu/cỡ chữ của bản cũ.</t>
  </si>
  <si>
    <t xml:space="preserve">CÁCH KIỂM</t>
  </si>
  <si>
    <t xml:space="preserve">1) Đọc lớp chữ của các PDF có chữ (cắt rác WC, máy thổi khí GB, FS A3, CM Aquaris, KTZ-LH). 2) PDF dạng ảnh: nhận dạng chữ (OCR) + xem ảnh từng trang. 3) Bảng số liệu: soát bằng máy theo các quy luật đo được – quy đổi m³/h ↔ l/min (×16,67), kW ↔ HP, cột áp tỉ lệ với số tầng, tổng chiều dài/khối lượng T = P + M, cột áp không tăng khi lưu lượng tăng; mọi ô nghi đều được phóng to kiểm lại bằng mắt trước khi ghi vào danh sách. 4) So chéo các bản cùng nội dung khác hãng (3 bản cắt rác, 2 bản KTZ-LH, 2 bản 3M, 2 bản CM, 2 bản CDLF, Perotac SA ↔ Redpump SL).</t>
  </si>
  <si>
    <t xml:space="preserve">MỨC ĐỘ</t>
  </si>
  <si>
    <t xml:space="preserve">1-Nghiêm trọng: sai tên hãng hoặc sai thông số chính (cột áp, công suất, kích thước) dễ làm khách hiểu sai. 2-Lỗi: sai chữ, nhãn, quy đổi rõ ràng. 3-Cần anh xác nhận: có dấu hiệu sai nhưng cần tài liệu NCC hoặc quyết định của anh. 4-Nhỏ: trình bày, đơn vị, khoảng cách.</t>
  </si>
  <si>
    <t xml:space="preserve">SỐ "≈"</t>
  </si>
  <si>
    <t xml:space="preserve">Giá trị có dấu ≈ ở cột "Đề xuất sửa" là số tính từ các dòng cùng bảng (tỉ lệ theo tầng, cộng/trừ) để chỉ ra chỗ sai; nên đối chiếu bảng gốc của NCC trước khi chốt số cuối.</t>
  </si>
  <si>
    <t xml:space="preserve">GIỚI HẠN</t>
  </si>
  <si>
    <t xml:space="preserve">3 file Perotac SA, Perotac SP, Redpump SL là ảnh nén 150 dpi: đã chép lại toàn bộ bảng và soát theo quy luật, nhưng chữ quá mờ ở vài ô vẫn có thể sót. File Excel: đã đọc trực tiếp giá trị và công thức các ô.</t>
  </si>
  <si>
    <t xml:space="preserve">LIÊN QUAN QUYẾT ĐỊNH TRƯỚC</t>
  </si>
  <si>
    <t xml:space="preserve">Các dòng ghi "Quyết định trước của anh" dựa trên điều anh đã chốt cho web: Aquaris bảo hành 24 tháng (27/09), Redpump ghi "Trung Quốc (tiêu chuẩn Ý)" (27/09), Perotac CDLF đế inox (25/09). Catalogue hiện ghi khác – anh quyết có sửa không.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</si>
</sst>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8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F8CBAD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EDEDED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D9D9D9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FEB9C"/>
      <rgbColor rgb="FF99CCFF"/>
      <rgbColor rgb="FFFCE4D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4"/>
    <col collapsed="false" customWidth="true" hidden="false" outlineLevel="0" max="3" min="3" style="0" width="9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7" min="6" style="0" width="16"/>
    <col collapsed="false" customWidth="true" hidden="false" outlineLevel="0" max="8" min="8" style="0" width="8"/>
    <col collapsed="false" customWidth="true" hidden="false" outlineLevel="0" max="9" min="9" style="0" width="14"/>
    <col collapsed="false" customWidth="true" hidden="false" outlineLevel="0" max="10" min="10" style="0" width="6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23.85" hidden="false" customHeight="false" outlineLevel="0" collapsed="false">
      <c r="A5" s="4" t="s">
        <v>12</v>
      </c>
      <c r="B5" s="4" t="s">
        <v>13</v>
      </c>
      <c r="C5" s="5" t="n">
        <v>10</v>
      </c>
      <c r="D5" s="5" t="n">
        <f aca="false">COUNTIFS('Danh sách lỗi'!$C$3:$C$178,"*"&amp;$B5&amp;"*",'Danh sách lỗi'!$F$3:$F$178,"1-Nghiêm trọng")</f>
        <v>5</v>
      </c>
      <c r="E5" s="5" t="n">
        <f aca="false">COUNTIFS('Danh sách lỗi'!$C$3:$C$178,"*"&amp;$B5&amp;"*",'Danh sách lỗi'!$F$3:$F$178,"2-Lỗi")</f>
        <v>6</v>
      </c>
      <c r="F5" s="5" t="n">
        <f aca="false">COUNTIFS('Danh sách lỗi'!$C$3:$C$178,"*"&amp;$B5&amp;"*",'Danh sách lỗi'!$F$3:$F$178,"3-Cần anh xác nhận")</f>
        <v>1</v>
      </c>
      <c r="G5" s="5" t="n">
        <f aca="false">COUNTIFS('Danh sách lỗi'!$C$3:$C$178,"*"&amp;$B5&amp;"*",'Danh sách lỗi'!$F$3:$F$178,"4-Nhỏ (trình bày)")</f>
        <v>3</v>
      </c>
      <c r="H5" s="5" t="n">
        <f aca="false">SUM(D5:G5)</f>
        <v>15</v>
      </c>
      <c r="I5" s="5" t="n">
        <f aca="false">COUNTIFS('Danh sách lỗi'!$C$3:$C$178,"*"&amp;$B5&amp;"*",'Danh sách lỗi'!$K$3:$K$178,"Sửa")</f>
        <v>0</v>
      </c>
      <c r="J5" s="4" t="s">
        <v>14</v>
      </c>
    </row>
    <row r="6" customFormat="false" ht="23.85" hidden="false" customHeight="false" outlineLevel="0" collapsed="false">
      <c r="A6" s="4" t="s">
        <v>12</v>
      </c>
      <c r="B6" s="4" t="s">
        <v>15</v>
      </c>
      <c r="C6" s="5" t="n">
        <v>32</v>
      </c>
      <c r="D6" s="5" t="n">
        <f aca="false">COUNTIFS('Danh sách lỗi'!$C$3:$C$178,"*"&amp;$B6&amp;"*",'Danh sách lỗi'!$F$3:$F$178,"1-Nghiêm trọng")</f>
        <v>9</v>
      </c>
      <c r="E6" s="5" t="n">
        <f aca="false">COUNTIFS('Danh sách lỗi'!$C$3:$C$178,"*"&amp;$B6&amp;"*",'Danh sách lỗi'!$F$3:$F$178,"2-Lỗi")</f>
        <v>18</v>
      </c>
      <c r="F6" s="5" t="n">
        <f aca="false">COUNTIFS('Danh sách lỗi'!$C$3:$C$178,"*"&amp;$B6&amp;"*",'Danh sách lỗi'!$F$3:$F$178,"3-Cần anh xác nhận")</f>
        <v>12</v>
      </c>
      <c r="G6" s="5" t="n">
        <f aca="false">COUNTIFS('Danh sách lỗi'!$C$3:$C$178,"*"&amp;$B6&amp;"*",'Danh sách lỗi'!$F$3:$F$178,"4-Nhỏ (trình bày)")</f>
        <v>4</v>
      </c>
      <c r="H6" s="5" t="n">
        <f aca="false">SUM(D6:G6)</f>
        <v>43</v>
      </c>
      <c r="I6" s="5" t="n">
        <f aca="false">COUNTIFS('Danh sách lỗi'!$C$3:$C$178,"*"&amp;$B6&amp;"*",'Danh sách lỗi'!$K$3:$K$178,"Sửa")</f>
        <v>0</v>
      </c>
      <c r="J6" s="4" t="s">
        <v>16</v>
      </c>
    </row>
    <row r="7" customFormat="false" ht="23.85" hidden="false" customHeight="false" outlineLevel="0" collapsed="false">
      <c r="A7" s="4" t="s">
        <v>12</v>
      </c>
      <c r="B7" s="4" t="s">
        <v>17</v>
      </c>
      <c r="C7" s="5" t="n">
        <v>11</v>
      </c>
      <c r="D7" s="5" t="n">
        <f aca="false">COUNTIFS('Danh sách lỗi'!$C$3:$C$178,"*"&amp;$B7&amp;"*",'Danh sách lỗi'!$F$3:$F$178,"1-Nghiêm trọng")</f>
        <v>4</v>
      </c>
      <c r="E7" s="5" t="n">
        <f aca="false">COUNTIFS('Danh sách lỗi'!$C$3:$C$178,"*"&amp;$B7&amp;"*",'Danh sách lỗi'!$F$3:$F$178,"2-Lỗi")</f>
        <v>5</v>
      </c>
      <c r="F7" s="5" t="n">
        <f aca="false">COUNTIFS('Danh sách lỗi'!$C$3:$C$178,"*"&amp;$B7&amp;"*",'Danh sách lỗi'!$F$3:$F$178,"3-Cần anh xác nhận")</f>
        <v>2</v>
      </c>
      <c r="G7" s="5" t="n">
        <f aca="false">COUNTIFS('Danh sách lỗi'!$C$3:$C$178,"*"&amp;$B7&amp;"*",'Danh sách lỗi'!$F$3:$F$178,"4-Nhỏ (trình bày)")</f>
        <v>0</v>
      </c>
      <c r="H7" s="5" t="n">
        <f aca="false">SUM(D7:G7)</f>
        <v>11</v>
      </c>
      <c r="I7" s="5" t="n">
        <f aca="false">COUNTIFS('Danh sách lỗi'!$C$3:$C$178,"*"&amp;$B7&amp;"*",'Danh sách lỗi'!$K$3:$K$178,"Sửa")</f>
        <v>0</v>
      </c>
      <c r="J7" s="4" t="s">
        <v>18</v>
      </c>
    </row>
    <row r="8" customFormat="false" ht="23.85" hidden="false" customHeight="false" outlineLevel="0" collapsed="false">
      <c r="A8" s="4" t="s">
        <v>12</v>
      </c>
      <c r="B8" s="4" t="s">
        <v>19</v>
      </c>
      <c r="C8" s="5" t="n">
        <v>12</v>
      </c>
      <c r="D8" s="5" t="n">
        <f aca="false">COUNTIFS('Danh sách lỗi'!$C$3:$C$178,"*"&amp;$B8&amp;"*",'Danh sách lỗi'!$F$3:$F$178,"1-Nghiêm trọng")</f>
        <v>3</v>
      </c>
      <c r="E8" s="5" t="n">
        <f aca="false">COUNTIFS('Danh sách lỗi'!$C$3:$C$178,"*"&amp;$B8&amp;"*",'Danh sách lỗi'!$F$3:$F$178,"2-Lỗi")</f>
        <v>0</v>
      </c>
      <c r="F8" s="5" t="n">
        <f aca="false">COUNTIFS('Danh sách lỗi'!$C$3:$C$178,"*"&amp;$B8&amp;"*",'Danh sách lỗi'!$F$3:$F$178,"3-Cần anh xác nhận")</f>
        <v>3</v>
      </c>
      <c r="G8" s="5" t="n">
        <f aca="false">COUNTIFS('Danh sách lỗi'!$C$3:$C$178,"*"&amp;$B8&amp;"*",'Danh sách lỗi'!$F$3:$F$178,"4-Nhỏ (trình bày)")</f>
        <v>1</v>
      </c>
      <c r="H8" s="5" t="n">
        <f aca="false">SUM(D8:G8)</f>
        <v>7</v>
      </c>
      <c r="I8" s="5" t="n">
        <f aca="false">COUNTIFS('Danh sách lỗi'!$C$3:$C$178,"*"&amp;$B8&amp;"*",'Danh sách lỗi'!$K$3:$K$178,"Sửa")</f>
        <v>0</v>
      </c>
      <c r="J8" s="4" t="s">
        <v>20</v>
      </c>
    </row>
    <row r="9" customFormat="false" ht="15" hidden="false" customHeight="false" outlineLevel="0" collapsed="false">
      <c r="A9" s="4" t="s">
        <v>12</v>
      </c>
      <c r="B9" s="4" t="s">
        <v>21</v>
      </c>
      <c r="C9" s="5" t="n">
        <v>11</v>
      </c>
      <c r="D9" s="5" t="n">
        <f aca="false">COUNTIFS('Danh sách lỗi'!$C$3:$C$178,"*"&amp;$B9&amp;"*",'Danh sách lỗi'!$F$3:$F$178,"1-Nghiêm trọng")</f>
        <v>4</v>
      </c>
      <c r="E9" s="5" t="n">
        <f aca="false">COUNTIFS('Danh sách lỗi'!$C$3:$C$178,"*"&amp;$B9&amp;"*",'Danh sách lỗi'!$F$3:$F$178,"2-Lỗi")</f>
        <v>5</v>
      </c>
      <c r="F9" s="5" t="n">
        <f aca="false">COUNTIFS('Danh sách lỗi'!$C$3:$C$178,"*"&amp;$B9&amp;"*",'Danh sách lỗi'!$F$3:$F$178,"3-Cần anh xác nhận")</f>
        <v>2</v>
      </c>
      <c r="G9" s="5" t="n">
        <f aca="false">COUNTIFS('Danh sách lỗi'!$C$3:$C$178,"*"&amp;$B9&amp;"*",'Danh sách lỗi'!$F$3:$F$178,"4-Nhỏ (trình bày)")</f>
        <v>1</v>
      </c>
      <c r="H9" s="5" t="n">
        <f aca="false">SUM(D9:G9)</f>
        <v>12</v>
      </c>
      <c r="I9" s="5" t="n">
        <f aca="false">COUNTIFS('Danh sách lỗi'!$C$3:$C$178,"*"&amp;$B9&amp;"*",'Danh sách lỗi'!$K$3:$K$178,"Sửa")</f>
        <v>0</v>
      </c>
      <c r="J9" s="4" t="s">
        <v>22</v>
      </c>
    </row>
    <row r="10" customFormat="false" ht="15" hidden="false" customHeight="false" outlineLevel="0" collapsed="false">
      <c r="A10" s="4" t="s">
        <v>23</v>
      </c>
      <c r="B10" s="4" t="s">
        <v>24</v>
      </c>
      <c r="C10" s="5" t="n">
        <v>4</v>
      </c>
      <c r="D10" s="5" t="n">
        <f aca="false">COUNTIFS('Danh sách lỗi'!$C$3:$C$178,"*"&amp;$B10&amp;"*",'Danh sách lỗi'!$F$3:$F$178,"1-Nghiêm trọng")</f>
        <v>0</v>
      </c>
      <c r="E10" s="5" t="n">
        <f aca="false">COUNTIFS('Danh sách lỗi'!$C$3:$C$178,"*"&amp;$B10&amp;"*",'Danh sách lỗi'!$F$3:$F$178,"2-Lỗi")</f>
        <v>0</v>
      </c>
      <c r="F10" s="5" t="n">
        <f aca="false">COUNTIFS('Danh sách lỗi'!$C$3:$C$178,"*"&amp;$B10&amp;"*",'Danh sách lỗi'!$F$3:$F$178,"3-Cần anh xác nhận")</f>
        <v>1</v>
      </c>
      <c r="G10" s="5" t="n">
        <f aca="false">COUNTIFS('Danh sách lỗi'!$C$3:$C$178,"*"&amp;$B10&amp;"*",'Danh sách lỗi'!$F$3:$F$178,"4-Nhỏ (trình bày)")</f>
        <v>3</v>
      </c>
      <c r="H10" s="5" t="n">
        <f aca="false">SUM(D10:G10)</f>
        <v>4</v>
      </c>
      <c r="I10" s="5" t="n">
        <f aca="false">COUNTIFS('Danh sách lỗi'!$C$3:$C$178,"*"&amp;$B10&amp;"*",'Danh sách lỗi'!$K$3:$K$178,"Sửa")</f>
        <v>0</v>
      </c>
      <c r="J10" s="4" t="s">
        <v>25</v>
      </c>
    </row>
    <row r="11" customFormat="false" ht="23.85" hidden="false" customHeight="false" outlineLevel="0" collapsed="false">
      <c r="A11" s="4" t="s">
        <v>23</v>
      </c>
      <c r="B11" s="4" t="s">
        <v>26</v>
      </c>
      <c r="C11" s="5" t="n">
        <v>1</v>
      </c>
      <c r="D11" s="5" t="n">
        <f aca="false">COUNTIFS('Danh sách lỗi'!$C$3:$C$178,"*"&amp;$B11&amp;"*",'Danh sách lỗi'!$F$3:$F$178,"1-Nghiêm trọng")</f>
        <v>0</v>
      </c>
      <c r="E11" s="5" t="n">
        <f aca="false">COUNTIFS('Danh sách lỗi'!$C$3:$C$178,"*"&amp;$B11&amp;"*",'Danh sách lỗi'!$F$3:$F$178,"2-Lỗi")</f>
        <v>3</v>
      </c>
      <c r="F11" s="5" t="n">
        <f aca="false">COUNTIFS('Danh sách lỗi'!$C$3:$C$178,"*"&amp;$B11&amp;"*",'Danh sách lỗi'!$F$3:$F$178,"3-Cần anh xác nhận")</f>
        <v>2</v>
      </c>
      <c r="G11" s="5" t="n">
        <f aca="false">COUNTIFS('Danh sách lỗi'!$C$3:$C$178,"*"&amp;$B11&amp;"*",'Danh sách lỗi'!$F$3:$F$178,"4-Nhỏ (trình bày)")</f>
        <v>1</v>
      </c>
      <c r="H11" s="5" t="n">
        <f aca="false">SUM(D11:G11)</f>
        <v>6</v>
      </c>
      <c r="I11" s="5" t="n">
        <f aca="false">COUNTIFS('Danh sách lỗi'!$C$3:$C$178,"*"&amp;$B11&amp;"*",'Danh sách lỗi'!$K$3:$K$178,"Sửa")</f>
        <v>0</v>
      </c>
      <c r="J11" s="4" t="s">
        <v>27</v>
      </c>
    </row>
    <row r="12" customFormat="false" ht="15" hidden="false" customHeight="false" outlineLevel="0" collapsed="false">
      <c r="A12" s="4" t="s">
        <v>23</v>
      </c>
      <c r="B12" s="4" t="s">
        <v>28</v>
      </c>
      <c r="C12" s="5" t="n">
        <v>8</v>
      </c>
      <c r="D12" s="5" t="n">
        <f aca="false">COUNTIFS('Danh sách lỗi'!$C$3:$C$178,"*"&amp;$B12&amp;"*",'Danh sách lỗi'!$F$3:$F$178,"1-Nghiêm trọng")</f>
        <v>0</v>
      </c>
      <c r="E12" s="5" t="n">
        <f aca="false">COUNTIFS('Danh sách lỗi'!$C$3:$C$178,"*"&amp;$B12&amp;"*",'Danh sách lỗi'!$F$3:$F$178,"2-Lỗi")</f>
        <v>6</v>
      </c>
      <c r="F12" s="5" t="n">
        <f aca="false">COUNTIFS('Danh sách lỗi'!$C$3:$C$178,"*"&amp;$B12&amp;"*",'Danh sách lỗi'!$F$3:$F$178,"3-Cần anh xác nhận")</f>
        <v>4</v>
      </c>
      <c r="G12" s="5" t="n">
        <f aca="false">COUNTIFS('Danh sách lỗi'!$C$3:$C$178,"*"&amp;$B12&amp;"*",'Danh sách lỗi'!$F$3:$F$178,"4-Nhỏ (trình bày)")</f>
        <v>2</v>
      </c>
      <c r="H12" s="5" t="n">
        <f aca="false">SUM(D12:G12)</f>
        <v>12</v>
      </c>
      <c r="I12" s="5" t="n">
        <f aca="false">COUNTIFS('Danh sách lỗi'!$C$3:$C$178,"*"&amp;$B12&amp;"*",'Danh sách lỗi'!$K$3:$K$178,"Sửa")</f>
        <v>0</v>
      </c>
      <c r="J12" s="4" t="s">
        <v>29</v>
      </c>
    </row>
    <row r="13" customFormat="false" ht="15" hidden="false" customHeight="false" outlineLevel="0" collapsed="false">
      <c r="A13" s="4" t="s">
        <v>23</v>
      </c>
      <c r="B13" s="4" t="s">
        <v>30</v>
      </c>
      <c r="C13" s="5" t="n">
        <v>8</v>
      </c>
      <c r="D13" s="5" t="n">
        <f aca="false">COUNTIFS('Danh sách lỗi'!$C$3:$C$178,"*"&amp;$B13&amp;"*",'Danh sách lỗi'!$F$3:$F$178,"1-Nghiêm trọng")</f>
        <v>0</v>
      </c>
      <c r="E13" s="5" t="n">
        <f aca="false">COUNTIFS('Danh sách lỗi'!$C$3:$C$178,"*"&amp;$B13&amp;"*",'Danh sách lỗi'!$F$3:$F$178,"2-Lỗi")</f>
        <v>6</v>
      </c>
      <c r="F13" s="5" t="n">
        <f aca="false">COUNTIFS('Danh sách lỗi'!$C$3:$C$178,"*"&amp;$B13&amp;"*",'Danh sách lỗi'!$F$3:$F$178,"3-Cần anh xác nhận")</f>
        <v>4</v>
      </c>
      <c r="G13" s="5" t="n">
        <f aca="false">COUNTIFS('Danh sách lỗi'!$C$3:$C$178,"*"&amp;$B13&amp;"*",'Danh sách lỗi'!$F$3:$F$178,"4-Nhỏ (trình bày)")</f>
        <v>2</v>
      </c>
      <c r="H13" s="5" t="n">
        <f aca="false">SUM(D13:G13)</f>
        <v>12</v>
      </c>
      <c r="I13" s="5" t="n">
        <f aca="false">COUNTIFS('Danh sách lỗi'!$C$3:$C$178,"*"&amp;$B13&amp;"*",'Danh sách lỗi'!$K$3:$K$178,"Sửa")</f>
        <v>0</v>
      </c>
      <c r="J13" s="4" t="s">
        <v>31</v>
      </c>
    </row>
    <row r="14" customFormat="false" ht="15" hidden="false" customHeight="false" outlineLevel="0" collapsed="false">
      <c r="A14" s="4" t="s">
        <v>23</v>
      </c>
      <c r="B14" s="4" t="s">
        <v>32</v>
      </c>
      <c r="C14" s="5" t="n">
        <v>8</v>
      </c>
      <c r="D14" s="5" t="n">
        <f aca="false">COUNTIFS('Danh sách lỗi'!$C$3:$C$178,"*"&amp;$B14&amp;"*",'Danh sách lỗi'!$F$3:$F$178,"1-Nghiêm trọng")</f>
        <v>0</v>
      </c>
      <c r="E14" s="5" t="n">
        <f aca="false">COUNTIFS('Danh sách lỗi'!$C$3:$C$178,"*"&amp;$B14&amp;"*",'Danh sách lỗi'!$F$3:$F$178,"2-Lỗi")</f>
        <v>6</v>
      </c>
      <c r="F14" s="5" t="n">
        <f aca="false">COUNTIFS('Danh sách lỗi'!$C$3:$C$178,"*"&amp;$B14&amp;"*",'Danh sách lỗi'!$F$3:$F$178,"3-Cần anh xác nhận")</f>
        <v>4</v>
      </c>
      <c r="G14" s="5" t="n">
        <f aca="false">COUNTIFS('Danh sách lỗi'!$C$3:$C$178,"*"&amp;$B14&amp;"*",'Danh sách lỗi'!$F$3:$F$178,"4-Nhỏ (trình bày)")</f>
        <v>2</v>
      </c>
      <c r="H14" s="5" t="n">
        <f aca="false">SUM(D14:G14)</f>
        <v>12</v>
      </c>
      <c r="I14" s="5" t="n">
        <f aca="false">COUNTIFS('Danh sách lỗi'!$C$3:$C$178,"*"&amp;$B14&amp;"*",'Danh sách lỗi'!$K$3:$K$178,"Sửa")</f>
        <v>0</v>
      </c>
      <c r="J14" s="4" t="s">
        <v>33</v>
      </c>
    </row>
    <row r="15" customFormat="false" ht="15" hidden="false" customHeight="false" outlineLevel="0" collapsed="false">
      <c r="A15" s="4" t="s">
        <v>23</v>
      </c>
      <c r="B15" s="4" t="s">
        <v>34</v>
      </c>
      <c r="C15" s="5" t="s">
        <v>35</v>
      </c>
      <c r="D15" s="5" t="n">
        <f aca="false">COUNTIFS('Danh sách lỗi'!$C$3:$C$178,"*"&amp;$B15&amp;"*",'Danh sách lỗi'!$F$3:$F$178,"1-Nghiêm trọng")</f>
        <v>0</v>
      </c>
      <c r="E15" s="5" t="n">
        <f aca="false">COUNTIFS('Danh sách lỗi'!$C$3:$C$178,"*"&amp;$B15&amp;"*",'Danh sách lỗi'!$F$3:$F$178,"2-Lỗi")</f>
        <v>4</v>
      </c>
      <c r="F15" s="5" t="n">
        <f aca="false">COUNTIFS('Danh sách lỗi'!$C$3:$C$178,"*"&amp;$B15&amp;"*",'Danh sách lỗi'!$F$3:$F$178,"3-Cần anh xác nhận")</f>
        <v>2</v>
      </c>
      <c r="G15" s="5" t="n">
        <f aca="false">COUNTIFS('Danh sách lỗi'!$C$3:$C$178,"*"&amp;$B15&amp;"*",'Danh sách lỗi'!$F$3:$F$178,"4-Nhỏ (trình bày)")</f>
        <v>1</v>
      </c>
      <c r="H15" s="5" t="n">
        <f aca="false">SUM(D15:G15)</f>
        <v>7</v>
      </c>
      <c r="I15" s="5" t="n">
        <f aca="false">COUNTIFS('Danh sách lỗi'!$C$3:$C$178,"*"&amp;$B15&amp;"*",'Danh sách lỗi'!$K$3:$K$178,"Sửa")</f>
        <v>0</v>
      </c>
      <c r="J15" s="4" t="s">
        <v>36</v>
      </c>
    </row>
    <row r="16" customFormat="false" ht="15" hidden="false" customHeight="false" outlineLevel="0" collapsed="false">
      <c r="A16" s="4" t="s">
        <v>23</v>
      </c>
      <c r="B16" s="4" t="s">
        <v>37</v>
      </c>
      <c r="C16" s="5" t="n">
        <v>7</v>
      </c>
      <c r="D16" s="5" t="n">
        <f aca="false">COUNTIFS('Danh sách lỗi'!$C$3:$C$178,"*"&amp;$B16&amp;"*",'Danh sách lỗi'!$F$3:$F$178,"1-Nghiêm trọng")</f>
        <v>0</v>
      </c>
      <c r="E16" s="5" t="n">
        <f aca="false">COUNTIFS('Danh sách lỗi'!$C$3:$C$178,"*"&amp;$B16&amp;"*",'Danh sách lỗi'!$F$3:$F$178,"2-Lỗi")</f>
        <v>5</v>
      </c>
      <c r="F16" s="5" t="n">
        <f aca="false">COUNTIFS('Danh sách lỗi'!$C$3:$C$178,"*"&amp;$B16&amp;"*",'Danh sách lỗi'!$F$3:$F$178,"3-Cần anh xác nhận")</f>
        <v>1</v>
      </c>
      <c r="G16" s="5" t="n">
        <f aca="false">COUNTIFS('Danh sách lỗi'!$C$3:$C$178,"*"&amp;$B16&amp;"*",'Danh sách lỗi'!$F$3:$F$178,"4-Nhỏ (trình bày)")</f>
        <v>1</v>
      </c>
      <c r="H16" s="5" t="n">
        <f aca="false">SUM(D16:G16)</f>
        <v>7</v>
      </c>
      <c r="I16" s="5" t="n">
        <f aca="false">COUNTIFS('Danh sách lỗi'!$C$3:$C$178,"*"&amp;$B16&amp;"*",'Danh sách lỗi'!$K$3:$K$178,"Sửa")</f>
        <v>0</v>
      </c>
      <c r="J16" s="4" t="s">
        <v>38</v>
      </c>
    </row>
    <row r="17" customFormat="false" ht="15" hidden="false" customHeight="false" outlineLevel="0" collapsed="false">
      <c r="A17" s="4" t="s">
        <v>23</v>
      </c>
      <c r="B17" s="4" t="s">
        <v>39</v>
      </c>
      <c r="C17" s="5" t="n">
        <v>7</v>
      </c>
      <c r="D17" s="5" t="n">
        <f aca="false">COUNTIFS('Danh sách lỗi'!$C$3:$C$178,"*"&amp;$B17&amp;"*",'Danh sách lỗi'!$F$3:$F$178,"1-Nghiêm trọng")</f>
        <v>0</v>
      </c>
      <c r="E17" s="5" t="n">
        <f aca="false">COUNTIFS('Danh sách lỗi'!$C$3:$C$178,"*"&amp;$B17&amp;"*",'Danh sách lỗi'!$F$3:$F$178,"2-Lỗi")</f>
        <v>5</v>
      </c>
      <c r="F17" s="5" t="n">
        <f aca="false">COUNTIFS('Danh sách lỗi'!$C$3:$C$178,"*"&amp;$B17&amp;"*",'Danh sách lỗi'!$F$3:$F$178,"3-Cần anh xác nhận")</f>
        <v>1</v>
      </c>
      <c r="G17" s="5" t="n">
        <f aca="false">COUNTIFS('Danh sách lỗi'!$C$3:$C$178,"*"&amp;$B17&amp;"*",'Danh sách lỗi'!$F$3:$F$178,"4-Nhỏ (trình bày)")</f>
        <v>1</v>
      </c>
      <c r="H17" s="5" t="n">
        <f aca="false">SUM(D17:G17)</f>
        <v>7</v>
      </c>
      <c r="I17" s="5" t="n">
        <f aca="false">COUNTIFS('Danh sách lỗi'!$C$3:$C$178,"*"&amp;$B17&amp;"*",'Danh sách lỗi'!$K$3:$K$178,"Sửa")</f>
        <v>0</v>
      </c>
      <c r="J17" s="4" t="s">
        <v>40</v>
      </c>
    </row>
    <row r="18" customFormat="false" ht="23.85" hidden="false" customHeight="false" outlineLevel="0" collapsed="false">
      <c r="A18" s="4" t="s">
        <v>41</v>
      </c>
      <c r="B18" s="4" t="s">
        <v>42</v>
      </c>
      <c r="C18" s="5" t="n">
        <v>29</v>
      </c>
      <c r="D18" s="5" t="n">
        <f aca="false">COUNTIFS('Danh sách lỗi'!$C$3:$C$178,"*"&amp;$B18&amp;"*",'Danh sách lỗi'!$F$3:$F$178,"1-Nghiêm trọng")</f>
        <v>0</v>
      </c>
      <c r="E18" s="5" t="n">
        <f aca="false">COUNTIFS('Danh sách lỗi'!$C$3:$C$178,"*"&amp;$B18&amp;"*",'Danh sách lỗi'!$F$3:$F$178,"2-Lỗi")</f>
        <v>2</v>
      </c>
      <c r="F18" s="5" t="n">
        <f aca="false">COUNTIFS('Danh sách lỗi'!$C$3:$C$178,"*"&amp;$B18&amp;"*",'Danh sách lỗi'!$F$3:$F$178,"3-Cần anh xác nhận")</f>
        <v>1</v>
      </c>
      <c r="G18" s="5" t="n">
        <f aca="false">COUNTIFS('Danh sách lỗi'!$C$3:$C$178,"*"&amp;$B18&amp;"*",'Danh sách lỗi'!$F$3:$F$178,"4-Nhỏ (trình bày)")</f>
        <v>5</v>
      </c>
      <c r="H18" s="5" t="n">
        <f aca="false">SUM(D18:G18)</f>
        <v>8</v>
      </c>
      <c r="I18" s="5" t="n">
        <f aca="false">COUNTIFS('Danh sách lỗi'!$C$3:$C$178,"*"&amp;$B18&amp;"*",'Danh sách lỗi'!$K$3:$K$178,"Sửa")</f>
        <v>0</v>
      </c>
      <c r="J18" s="4" t="s">
        <v>43</v>
      </c>
    </row>
    <row r="19" customFormat="false" ht="15" hidden="false" customHeight="false" outlineLevel="0" collapsed="false">
      <c r="A19" s="4" t="s">
        <v>41</v>
      </c>
      <c r="B19" s="4" t="s">
        <v>44</v>
      </c>
      <c r="C19" s="5" t="n">
        <v>18</v>
      </c>
      <c r="D19" s="5" t="n">
        <f aca="false">COUNTIFS('Danh sách lỗi'!$C$3:$C$178,"*"&amp;$B19&amp;"*",'Danh sách lỗi'!$F$3:$F$178,"1-Nghiêm trọng")</f>
        <v>3</v>
      </c>
      <c r="E19" s="5" t="n">
        <f aca="false">COUNTIFS('Danh sách lỗi'!$C$3:$C$178,"*"&amp;$B19&amp;"*",'Danh sách lỗi'!$F$3:$F$178,"2-Lỗi")</f>
        <v>8</v>
      </c>
      <c r="F19" s="5" t="n">
        <f aca="false">COUNTIFS('Danh sách lỗi'!$C$3:$C$178,"*"&amp;$B19&amp;"*",'Danh sách lỗi'!$F$3:$F$178,"3-Cần anh xác nhận")</f>
        <v>3</v>
      </c>
      <c r="G19" s="5" t="n">
        <f aca="false">COUNTIFS('Danh sách lỗi'!$C$3:$C$178,"*"&amp;$B19&amp;"*",'Danh sách lỗi'!$F$3:$F$178,"4-Nhỏ (trình bày)")</f>
        <v>0</v>
      </c>
      <c r="H19" s="5" t="n">
        <f aca="false">SUM(D19:G19)</f>
        <v>14</v>
      </c>
      <c r="I19" s="5" t="n">
        <f aca="false">COUNTIFS('Danh sách lỗi'!$C$3:$C$178,"*"&amp;$B19&amp;"*",'Danh sách lỗi'!$K$3:$K$178,"Sửa")</f>
        <v>0</v>
      </c>
      <c r="J19" s="4" t="s">
        <v>45</v>
      </c>
    </row>
    <row r="20" customFormat="false" ht="23.85" hidden="false" customHeight="false" outlineLevel="0" collapsed="false">
      <c r="A20" s="4" t="s">
        <v>46</v>
      </c>
      <c r="B20" s="4" t="s">
        <v>47</v>
      </c>
      <c r="C20" s="5" t="n">
        <v>12</v>
      </c>
      <c r="D20" s="5" t="n">
        <f aca="false">COUNTIFS('Danh sách lỗi'!$C$3:$C$178,"*"&amp;$B20&amp;"*",'Danh sách lỗi'!$F$3:$F$178,"1-Nghiêm trọng")</f>
        <v>1</v>
      </c>
      <c r="E20" s="5" t="n">
        <f aca="false">COUNTIFS('Danh sách lỗi'!$C$3:$C$178,"*"&amp;$B20&amp;"*",'Danh sách lỗi'!$F$3:$F$178,"2-Lỗi")</f>
        <v>5</v>
      </c>
      <c r="F20" s="5" t="n">
        <f aca="false">COUNTIFS('Danh sách lỗi'!$C$3:$C$178,"*"&amp;$B20&amp;"*",'Danh sách lỗi'!$F$3:$F$178,"3-Cần anh xác nhận")</f>
        <v>0</v>
      </c>
      <c r="G20" s="5" t="n">
        <f aca="false">COUNTIFS('Danh sách lỗi'!$C$3:$C$178,"*"&amp;$B20&amp;"*",'Danh sách lỗi'!$F$3:$F$178,"4-Nhỏ (trình bày)")</f>
        <v>1</v>
      </c>
      <c r="H20" s="5" t="n">
        <f aca="false">SUM(D20:G20)</f>
        <v>7</v>
      </c>
      <c r="I20" s="5" t="n">
        <f aca="false">COUNTIFS('Danh sách lỗi'!$C$3:$C$178,"*"&amp;$B20&amp;"*",'Danh sách lỗi'!$K$3:$K$178,"Sửa")</f>
        <v>0</v>
      </c>
      <c r="J20" s="4" t="s">
        <v>48</v>
      </c>
    </row>
    <row r="21" customFormat="false" ht="23.85" hidden="false" customHeight="false" outlineLevel="0" collapsed="false">
      <c r="A21" s="4" t="s">
        <v>46</v>
      </c>
      <c r="B21" s="4" t="s">
        <v>49</v>
      </c>
      <c r="C21" s="5" t="n">
        <v>12</v>
      </c>
      <c r="D21" s="5" t="n">
        <f aca="false">COUNTIFS('Danh sách lỗi'!$C$3:$C$178,"*"&amp;$B21&amp;"*",'Danh sách lỗi'!$F$3:$F$178,"1-Nghiêm trọng")</f>
        <v>1</v>
      </c>
      <c r="E21" s="5" t="n">
        <f aca="false">COUNTIFS('Danh sách lỗi'!$C$3:$C$178,"*"&amp;$B21&amp;"*",'Danh sách lỗi'!$F$3:$F$178,"2-Lỗi")</f>
        <v>5</v>
      </c>
      <c r="F21" s="5" t="n">
        <f aca="false">COUNTIFS('Danh sách lỗi'!$C$3:$C$178,"*"&amp;$B21&amp;"*",'Danh sách lỗi'!$F$3:$F$178,"3-Cần anh xác nhận")</f>
        <v>1</v>
      </c>
      <c r="G21" s="5" t="n">
        <f aca="false">COUNTIFS('Danh sách lỗi'!$C$3:$C$178,"*"&amp;$B21&amp;"*",'Danh sách lỗi'!$F$3:$F$178,"4-Nhỏ (trình bày)")</f>
        <v>1</v>
      </c>
      <c r="H21" s="5" t="n">
        <f aca="false">SUM(D21:G21)</f>
        <v>8</v>
      </c>
      <c r="I21" s="5" t="n">
        <f aca="false">COUNTIFS('Danh sách lỗi'!$C$3:$C$178,"*"&amp;$B21&amp;"*",'Danh sách lỗi'!$K$3:$K$178,"Sửa")</f>
        <v>0</v>
      </c>
      <c r="J21" s="4" t="s">
        <v>50</v>
      </c>
    </row>
    <row r="22" customFormat="false" ht="15" hidden="false" customHeight="false" outlineLevel="0" collapsed="false">
      <c r="A22" s="4" t="s">
        <v>46</v>
      </c>
      <c r="B22" s="4" t="s">
        <v>51</v>
      </c>
      <c r="C22" s="5" t="n">
        <v>3</v>
      </c>
      <c r="D22" s="5" t="n">
        <f aca="false">COUNTIFS('Danh sách lỗi'!$C$3:$C$178,"*"&amp;$B22&amp;"*",'Danh sách lỗi'!$F$3:$F$178,"1-Nghiêm trọng")</f>
        <v>2</v>
      </c>
      <c r="E22" s="5" t="n">
        <f aca="false">COUNTIFS('Danh sách lỗi'!$C$3:$C$178,"*"&amp;$B22&amp;"*",'Danh sách lỗi'!$F$3:$F$178,"2-Lỗi")</f>
        <v>1</v>
      </c>
      <c r="F22" s="5" t="n">
        <f aca="false">COUNTIFS('Danh sách lỗi'!$C$3:$C$178,"*"&amp;$B22&amp;"*",'Danh sách lỗi'!$F$3:$F$178,"3-Cần anh xác nhận")</f>
        <v>1</v>
      </c>
      <c r="G22" s="5" t="n">
        <f aca="false">COUNTIFS('Danh sách lỗi'!$C$3:$C$178,"*"&amp;$B22&amp;"*",'Danh sách lỗi'!$F$3:$F$178,"4-Nhỏ (trình bày)")</f>
        <v>0</v>
      </c>
      <c r="H22" s="5" t="n">
        <f aca="false">SUM(D22:G22)</f>
        <v>4</v>
      </c>
      <c r="I22" s="5" t="n">
        <f aca="false">COUNTIFS('Danh sách lỗi'!$C$3:$C$178,"*"&amp;$B22&amp;"*",'Danh sách lỗi'!$K$3:$K$178,"Sửa")</f>
        <v>0</v>
      </c>
      <c r="J22" s="4" t="s">
        <v>52</v>
      </c>
    </row>
    <row r="23" customFormat="false" ht="15" hidden="false" customHeight="false" outlineLevel="0" collapsed="false">
      <c r="A23" s="4" t="s">
        <v>53</v>
      </c>
      <c r="B23" s="4" t="s">
        <v>54</v>
      </c>
      <c r="C23" s="5" t="n">
        <v>2</v>
      </c>
      <c r="D23" s="5" t="n">
        <f aca="false">COUNTIFS('Danh sách lỗi'!$C$3:$C$178,"*"&amp;$B23&amp;"*",'Danh sách lỗi'!$F$3:$F$178,"1-Nghiêm trọng")</f>
        <v>0</v>
      </c>
      <c r="E23" s="5" t="n">
        <f aca="false">COUNTIFS('Danh sách lỗi'!$C$3:$C$178,"*"&amp;$B23&amp;"*",'Danh sách lỗi'!$F$3:$F$178,"2-Lỗi")</f>
        <v>2</v>
      </c>
      <c r="F23" s="5" t="n">
        <f aca="false">COUNTIFS('Danh sách lỗi'!$C$3:$C$178,"*"&amp;$B23&amp;"*",'Danh sách lỗi'!$F$3:$F$178,"3-Cần anh xác nhận")</f>
        <v>0</v>
      </c>
      <c r="G23" s="5" t="n">
        <f aca="false">COUNTIFS('Danh sách lỗi'!$C$3:$C$178,"*"&amp;$B23&amp;"*",'Danh sách lỗi'!$F$3:$F$178,"4-Nhỏ (trình bày)")</f>
        <v>1</v>
      </c>
      <c r="H23" s="5" t="n">
        <f aca="false">SUM(D23:G23)</f>
        <v>3</v>
      </c>
      <c r="I23" s="5" t="n">
        <f aca="false">COUNTIFS('Danh sách lỗi'!$C$3:$C$178,"*"&amp;$B23&amp;"*",'Danh sách lỗi'!$K$3:$K$178,"Sửa")</f>
        <v>0</v>
      </c>
      <c r="J23" s="4" t="s">
        <v>55</v>
      </c>
    </row>
    <row r="24" customFormat="false" ht="15" hidden="false" customHeight="false" outlineLevel="0" collapsed="false">
      <c r="A24" s="4" t="s">
        <v>53</v>
      </c>
      <c r="B24" s="4" t="s">
        <v>56</v>
      </c>
      <c r="C24" s="5" t="n">
        <v>2</v>
      </c>
      <c r="D24" s="5" t="n">
        <f aca="false">COUNTIFS('Danh sách lỗi'!$C$3:$C$178,"*"&amp;$B24&amp;"*",'Danh sách lỗi'!$F$3:$F$178,"1-Nghiêm trọng")</f>
        <v>0</v>
      </c>
      <c r="E24" s="5" t="n">
        <f aca="false">COUNTIFS('Danh sách lỗi'!$C$3:$C$178,"*"&amp;$B24&amp;"*",'Danh sách lỗi'!$F$3:$F$178,"2-Lỗi")</f>
        <v>2</v>
      </c>
      <c r="F24" s="5" t="n">
        <f aca="false">COUNTIFS('Danh sách lỗi'!$C$3:$C$178,"*"&amp;$B24&amp;"*",'Danh sách lỗi'!$F$3:$F$178,"3-Cần anh xác nhận")</f>
        <v>0</v>
      </c>
      <c r="G24" s="5" t="n">
        <f aca="false">COUNTIFS('Danh sách lỗi'!$C$3:$C$178,"*"&amp;$B24&amp;"*",'Danh sách lỗi'!$F$3:$F$178,"4-Nhỏ (trình bày)")</f>
        <v>1</v>
      </c>
      <c r="H24" s="5" t="n">
        <f aca="false">SUM(D24:G24)</f>
        <v>3</v>
      </c>
      <c r="I24" s="5" t="n">
        <f aca="false">COUNTIFS('Danh sách lỗi'!$C$3:$C$178,"*"&amp;$B24&amp;"*",'Danh sách lỗi'!$K$3:$K$178,"Sửa")</f>
        <v>0</v>
      </c>
      <c r="J24" s="4" t="s">
        <v>57</v>
      </c>
    </row>
    <row r="25" customFormat="false" ht="15" hidden="false" customHeight="false" outlineLevel="0" collapsed="false">
      <c r="A25" s="4" t="s">
        <v>53</v>
      </c>
      <c r="B25" s="4" t="s">
        <v>58</v>
      </c>
      <c r="C25" s="5" t="n">
        <v>4</v>
      </c>
      <c r="D25" s="5" t="n">
        <f aca="false">COUNTIFS('Danh sách lỗi'!$C$3:$C$178,"*"&amp;$B25&amp;"*",'Danh sách lỗi'!$F$3:$F$178,"1-Nghiêm trọng")</f>
        <v>0</v>
      </c>
      <c r="E25" s="5" t="n">
        <f aca="false">COUNTIFS('Danh sách lỗi'!$C$3:$C$178,"*"&amp;$B25&amp;"*",'Danh sách lỗi'!$F$3:$F$178,"2-Lỗi")</f>
        <v>4</v>
      </c>
      <c r="F25" s="5" t="n">
        <f aca="false">COUNTIFS('Danh sách lỗi'!$C$3:$C$178,"*"&amp;$B25&amp;"*",'Danh sách lỗi'!$F$3:$F$178,"3-Cần anh xác nhận")</f>
        <v>1</v>
      </c>
      <c r="G25" s="5" t="n">
        <f aca="false">COUNTIFS('Danh sách lỗi'!$C$3:$C$178,"*"&amp;$B25&amp;"*",'Danh sách lỗi'!$F$3:$F$178,"4-Nhỏ (trình bày)")</f>
        <v>2</v>
      </c>
      <c r="H25" s="5" t="n">
        <f aca="false">SUM(D25:G25)</f>
        <v>7</v>
      </c>
      <c r="I25" s="5" t="n">
        <f aca="false">COUNTIFS('Danh sách lỗi'!$C$3:$C$178,"*"&amp;$B25&amp;"*",'Danh sách lỗi'!$K$3:$K$178,"Sửa")</f>
        <v>0</v>
      </c>
      <c r="J25" s="4" t="s">
        <v>59</v>
      </c>
    </row>
    <row r="26" customFormat="false" ht="15" hidden="false" customHeight="false" outlineLevel="0" collapsed="false">
      <c r="A26" s="4" t="s">
        <v>53</v>
      </c>
      <c r="B26" s="4" t="s">
        <v>60</v>
      </c>
      <c r="C26" s="5" t="n">
        <v>5</v>
      </c>
      <c r="D26" s="5" t="n">
        <f aca="false">COUNTIFS('Danh sách lỗi'!$C$3:$C$178,"*"&amp;$B26&amp;"*",'Danh sách lỗi'!$F$3:$F$178,"1-Nghiêm trọng")</f>
        <v>1</v>
      </c>
      <c r="E26" s="5" t="n">
        <f aca="false">COUNTIFS('Danh sách lỗi'!$C$3:$C$178,"*"&amp;$B26&amp;"*",'Danh sách lỗi'!$F$3:$F$178,"2-Lỗi")</f>
        <v>3</v>
      </c>
      <c r="F26" s="5" t="n">
        <f aca="false">COUNTIFS('Danh sách lỗi'!$C$3:$C$178,"*"&amp;$B26&amp;"*",'Danh sách lỗi'!$F$3:$F$178,"3-Cần anh xác nhận")</f>
        <v>1</v>
      </c>
      <c r="G26" s="5" t="n">
        <f aca="false">COUNTIFS('Danh sách lỗi'!$C$3:$C$178,"*"&amp;$B26&amp;"*",'Danh sách lỗi'!$F$3:$F$178,"4-Nhỏ (trình bày)")</f>
        <v>2</v>
      </c>
      <c r="H26" s="5" t="n">
        <f aca="false">SUM(D26:G26)</f>
        <v>7</v>
      </c>
      <c r="I26" s="5" t="n">
        <f aca="false">COUNTIFS('Danh sách lỗi'!$C$3:$C$178,"*"&amp;$B26&amp;"*",'Danh sách lỗi'!$K$3:$K$178,"Sửa")</f>
        <v>0</v>
      </c>
      <c r="J26" s="4" t="s">
        <v>61</v>
      </c>
    </row>
    <row r="27" customFormat="false" ht="15" hidden="false" customHeight="false" outlineLevel="0" collapsed="false">
      <c r="A27" s="4" t="s">
        <v>53</v>
      </c>
      <c r="B27" s="4" t="s">
        <v>62</v>
      </c>
      <c r="C27" s="5" t="s">
        <v>35</v>
      </c>
      <c r="D27" s="5" t="n">
        <f aca="false">COUNTIFS('Danh sách lỗi'!$C$3:$C$178,"*"&amp;$B27&amp;"*",'Danh sách lỗi'!$F$3:$F$178,"1-Nghiêm trọng")</f>
        <v>0</v>
      </c>
      <c r="E27" s="5" t="n">
        <f aca="false">COUNTIFS('Danh sách lỗi'!$C$3:$C$178,"*"&amp;$B27&amp;"*",'Danh sách lỗi'!$F$3:$F$178,"2-Lỗi")</f>
        <v>3</v>
      </c>
      <c r="F27" s="5" t="n">
        <f aca="false">COUNTIFS('Danh sách lỗi'!$C$3:$C$178,"*"&amp;$B27&amp;"*",'Danh sách lỗi'!$F$3:$F$178,"3-Cần anh xác nhận")</f>
        <v>1</v>
      </c>
      <c r="G27" s="5" t="n">
        <f aca="false">COUNTIFS('Danh sách lỗi'!$C$3:$C$178,"*"&amp;$B27&amp;"*",'Danh sách lỗi'!$F$3:$F$178,"4-Nhỏ (trình bày)")</f>
        <v>1</v>
      </c>
      <c r="H27" s="5" t="n">
        <f aca="false">SUM(D27:G27)</f>
        <v>5</v>
      </c>
      <c r="I27" s="5" t="n">
        <f aca="false">COUNTIFS('Danh sách lỗi'!$C$3:$C$178,"*"&amp;$B27&amp;"*",'Danh sách lỗi'!$K$3:$K$178,"Sửa")</f>
        <v>0</v>
      </c>
      <c r="J27" s="4" t="s">
        <v>63</v>
      </c>
    </row>
    <row r="28" customFormat="false" ht="23.85" hidden="false" customHeight="false" outlineLevel="0" collapsed="false">
      <c r="A28" s="4" t="s">
        <v>53</v>
      </c>
      <c r="B28" s="4" t="s">
        <v>64</v>
      </c>
      <c r="C28" s="5" t="n">
        <v>2</v>
      </c>
      <c r="D28" s="5" t="n">
        <f aca="false">COUNTIFS('Danh sách lỗi'!$C$3:$C$178,"*"&amp;$B28&amp;"*",'Danh sách lỗi'!$F$3:$F$178,"1-Nghiêm trọng")</f>
        <v>2</v>
      </c>
      <c r="E28" s="5" t="n">
        <f aca="false">COUNTIFS('Danh sách lỗi'!$C$3:$C$178,"*"&amp;$B28&amp;"*",'Danh sách lỗi'!$F$3:$F$178,"2-Lỗi")</f>
        <v>2</v>
      </c>
      <c r="F28" s="5" t="n">
        <f aca="false">COUNTIFS('Danh sách lỗi'!$C$3:$C$178,"*"&amp;$B28&amp;"*",'Danh sách lỗi'!$F$3:$F$178,"3-Cần anh xác nhận")</f>
        <v>0</v>
      </c>
      <c r="G28" s="5" t="n">
        <f aca="false">COUNTIFS('Danh sách lỗi'!$C$3:$C$178,"*"&amp;$B28&amp;"*",'Danh sách lỗi'!$F$3:$F$178,"4-Nhỏ (trình bày)")</f>
        <v>2</v>
      </c>
      <c r="H28" s="5" t="n">
        <f aca="false">SUM(D28:G28)</f>
        <v>6</v>
      </c>
      <c r="I28" s="5" t="n">
        <f aca="false">COUNTIFS('Danh sách lỗi'!$C$3:$C$178,"*"&amp;$B28&amp;"*",'Danh sách lỗi'!$K$3:$K$178,"Sửa")</f>
        <v>0</v>
      </c>
      <c r="J28" s="4" t="s">
        <v>65</v>
      </c>
    </row>
    <row r="29" customFormat="false" ht="23.85" hidden="false" customHeight="false" outlineLevel="0" collapsed="false">
      <c r="A29" s="4" t="s">
        <v>53</v>
      </c>
      <c r="B29" s="4" t="s">
        <v>66</v>
      </c>
      <c r="C29" s="5" t="n">
        <v>2</v>
      </c>
      <c r="D29" s="5" t="n">
        <f aca="false">COUNTIFS('Danh sách lỗi'!$C$3:$C$178,"*"&amp;$B29&amp;"*",'Danh sách lỗi'!$F$3:$F$178,"1-Nghiêm trọng")</f>
        <v>2</v>
      </c>
      <c r="E29" s="5" t="n">
        <f aca="false">COUNTIFS('Danh sách lỗi'!$C$3:$C$178,"*"&amp;$B29&amp;"*",'Danh sách lỗi'!$F$3:$F$178,"2-Lỗi")</f>
        <v>2</v>
      </c>
      <c r="F29" s="5" t="n">
        <f aca="false">COUNTIFS('Danh sách lỗi'!$C$3:$C$178,"*"&amp;$B29&amp;"*",'Danh sách lỗi'!$F$3:$F$178,"3-Cần anh xác nhận")</f>
        <v>0</v>
      </c>
      <c r="G29" s="5" t="n">
        <f aca="false">COUNTIFS('Danh sách lỗi'!$C$3:$C$178,"*"&amp;$B29&amp;"*",'Danh sách lỗi'!$F$3:$F$178,"4-Nhỏ (trình bày)")</f>
        <v>2</v>
      </c>
      <c r="H29" s="5" t="n">
        <f aca="false">SUM(D29:G29)</f>
        <v>6</v>
      </c>
      <c r="I29" s="5" t="n">
        <f aca="false">COUNTIFS('Danh sách lỗi'!$C$3:$C$178,"*"&amp;$B29&amp;"*",'Danh sách lỗi'!$K$3:$K$178,"Sửa")</f>
        <v>0</v>
      </c>
      <c r="J29" s="4" t="s">
        <v>67</v>
      </c>
    </row>
    <row r="30" customFormat="false" ht="15" hidden="false" customHeight="true" outlineLevel="0" collapsed="false">
      <c r="A30" s="4" t="s">
        <v>68</v>
      </c>
      <c r="B30" s="4"/>
      <c r="C30" s="4"/>
      <c r="D30" s="5" t="n">
        <f aca="false">COUNTIFS('Danh sách lỗi'!$C$3:$C$178,"Redpump (*",'Danh sách lỗi'!$F$3:$F$178,"1-Nghiêm trọng")</f>
        <v>0</v>
      </c>
      <c r="E30" s="5" t="n">
        <f aca="false">COUNTIFS('Danh sách lỗi'!$C$3:$C$178,"Redpump (*",'Danh sách lỗi'!$F$3:$F$178,"2-Lỗi")</f>
        <v>0</v>
      </c>
      <c r="F30" s="5" t="n">
        <f aca="false">COUNTIFS('Danh sách lỗi'!$C$3:$C$178,"Redpump (*",'Danh sách lỗi'!$F$3:$F$178,"3-Cần anh xác nhận")</f>
        <v>1</v>
      </c>
      <c r="G30" s="5" t="n">
        <f aca="false">COUNTIFS('Danh sách lỗi'!$C$3:$C$178,"Redpump (*",'Danh sách lỗi'!$F$3:$F$178,"4-Nhỏ (trình bày)")</f>
        <v>0</v>
      </c>
      <c r="H30" s="5" t="n">
        <f aca="false">SUM(D30:G30)</f>
        <v>1</v>
      </c>
      <c r="I30" s="5"/>
      <c r="J30" s="5"/>
    </row>
    <row r="31" customFormat="false" ht="15" hidden="false" customHeight="true" outlineLevel="0" collapsed="false">
      <c r="A31" s="6" t="s">
        <v>69</v>
      </c>
      <c r="B31" s="6"/>
      <c r="C31" s="6"/>
      <c r="D31" s="7" t="n">
        <f aca="false">COUNTIF('Danh sách lỗi'!$F$3:$F$178,"1-Nghiêm trọng")</f>
        <v>30</v>
      </c>
      <c r="E31" s="7" t="n">
        <f aca="false">COUNTIF('Danh sách lỗi'!$F$3:$F$178,"2-Lỗi")</f>
        <v>79</v>
      </c>
      <c r="F31" s="7" t="n">
        <f aca="false">COUNTIF('Danh sách lỗi'!$F$3:$F$178,"3-Cần anh xác nhận")</f>
        <v>36</v>
      </c>
      <c r="G31" s="7" t="n">
        <f aca="false">COUNTIF('Danh sách lỗi'!$F$3:$F$178,"4-Nhỏ (trình bày)")</f>
        <v>31</v>
      </c>
      <c r="H31" s="7" t="n">
        <f aca="false">SUM(D31:G31)</f>
        <v>176</v>
      </c>
      <c r="I31" s="7" t="n">
        <f aca="false">COUNTIF('Danh sách lỗi'!$K$3:$K$178,"Sửa")</f>
        <v>0</v>
      </c>
      <c r="J31" s="7"/>
    </row>
  </sheetData>
  <mergeCells count="2">
    <mergeCell ref="A30:C30"/>
    <mergeCell ref="A31:C31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7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30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16"/>
    <col collapsed="false" customWidth="true" hidden="false" outlineLevel="0" max="7" min="7" style="0" width="30"/>
    <col collapsed="false" customWidth="true" hidden="false" outlineLevel="0" max="8" min="8" style="0" width="48"/>
    <col collapsed="false" customWidth="true" hidden="false" outlineLevel="0" max="9" min="9" style="0" width="42"/>
    <col collapsed="false" customWidth="true" hidden="false" outlineLevel="0" max="10" min="10" style="0" width="30"/>
    <col collapsed="false" customWidth="true" hidden="false" outlineLevel="0" max="11" min="11" style="0" width="12"/>
    <col collapsed="false" customWidth="true" hidden="false" outlineLevel="0" max="12" min="12" style="0" width="24"/>
  </cols>
  <sheetData>
    <row r="1" customFormat="false" ht="36" hidden="false" customHeight="true" outlineLevel="0" collapsed="false">
      <c r="A1" s="8" t="s">
        <v>70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customFormat="false" ht="23.85" hidden="false" customHeight="false" outlineLevel="0" collapsed="false">
      <c r="A2" s="3" t="s">
        <v>71</v>
      </c>
      <c r="B2" s="3" t="s">
        <v>2</v>
      </c>
      <c r="C2" s="3" t="s">
        <v>3</v>
      </c>
      <c r="D2" s="3" t="s">
        <v>72</v>
      </c>
      <c r="E2" s="3" t="s">
        <v>73</v>
      </c>
      <c r="F2" s="3" t="s">
        <v>74</v>
      </c>
      <c r="G2" s="3" t="s">
        <v>75</v>
      </c>
      <c r="H2" s="3" t="s">
        <v>76</v>
      </c>
      <c r="I2" s="3" t="s">
        <v>77</v>
      </c>
      <c r="J2" s="3" t="s">
        <v>78</v>
      </c>
      <c r="K2" s="3" t="s">
        <v>79</v>
      </c>
      <c r="L2" s="3" t="s">
        <v>80</v>
      </c>
    </row>
    <row r="3" customFormat="false" ht="23.85" hidden="false" customHeight="false" outlineLevel="0" collapsed="false">
      <c r="A3" s="5" t="n">
        <v>1</v>
      </c>
      <c r="B3" s="4" t="s">
        <v>12</v>
      </c>
      <c r="C3" s="4" t="s">
        <v>13</v>
      </c>
      <c r="D3" s="5" t="s">
        <v>81</v>
      </c>
      <c r="E3" s="5" t="s">
        <v>82</v>
      </c>
      <c r="F3" s="9" t="s">
        <v>6</v>
      </c>
      <c r="G3" s="4" t="s">
        <v>83</v>
      </c>
      <c r="H3" s="4" t="s">
        <v>84</v>
      </c>
      <c r="I3" s="4" t="s">
        <v>85</v>
      </c>
      <c r="J3" s="4" t="s">
        <v>86</v>
      </c>
      <c r="K3" s="5"/>
      <c r="L3" s="4"/>
    </row>
    <row r="4" customFormat="false" ht="23.85" hidden="false" customHeight="false" outlineLevel="0" collapsed="false">
      <c r="A4" s="5" t="n">
        <v>2</v>
      </c>
      <c r="B4" s="4" t="s">
        <v>12</v>
      </c>
      <c r="C4" s="4" t="s">
        <v>13</v>
      </c>
      <c r="D4" s="5" t="s">
        <v>87</v>
      </c>
      <c r="E4" s="5" t="s">
        <v>88</v>
      </c>
      <c r="F4" s="9" t="s">
        <v>6</v>
      </c>
      <c r="G4" s="4" t="s">
        <v>89</v>
      </c>
      <c r="H4" s="4" t="s">
        <v>90</v>
      </c>
      <c r="I4" s="4" t="s">
        <v>91</v>
      </c>
      <c r="J4" s="4" t="s">
        <v>92</v>
      </c>
      <c r="K4" s="5"/>
      <c r="L4" s="4"/>
    </row>
    <row r="5" customFormat="false" ht="23.85" hidden="false" customHeight="false" outlineLevel="0" collapsed="false">
      <c r="A5" s="5" t="n">
        <v>3</v>
      </c>
      <c r="B5" s="4" t="s">
        <v>12</v>
      </c>
      <c r="C5" s="4" t="s">
        <v>13</v>
      </c>
      <c r="D5" s="5" t="s">
        <v>93</v>
      </c>
      <c r="E5" s="5" t="s">
        <v>94</v>
      </c>
      <c r="F5" s="9" t="s">
        <v>6</v>
      </c>
      <c r="G5" s="4" t="s">
        <v>95</v>
      </c>
      <c r="H5" s="4" t="s">
        <v>96</v>
      </c>
      <c r="I5" s="4" t="s">
        <v>97</v>
      </c>
      <c r="J5" s="4" t="s">
        <v>98</v>
      </c>
      <c r="K5" s="5"/>
      <c r="L5" s="4"/>
    </row>
    <row r="6" customFormat="false" ht="23.85" hidden="false" customHeight="false" outlineLevel="0" collapsed="false">
      <c r="A6" s="5" t="n">
        <v>4</v>
      </c>
      <c r="B6" s="4" t="s">
        <v>12</v>
      </c>
      <c r="C6" s="4" t="s">
        <v>13</v>
      </c>
      <c r="D6" s="5" t="s">
        <v>93</v>
      </c>
      <c r="E6" s="5" t="s">
        <v>94</v>
      </c>
      <c r="F6" s="10" t="s">
        <v>5</v>
      </c>
      <c r="G6" s="4" t="s">
        <v>99</v>
      </c>
      <c r="H6" s="4" t="s">
        <v>100</v>
      </c>
      <c r="I6" s="4" t="s">
        <v>101</v>
      </c>
      <c r="J6" s="4" t="s">
        <v>102</v>
      </c>
      <c r="K6" s="5"/>
      <c r="L6" s="4"/>
    </row>
    <row r="7" customFormat="false" ht="23.85" hidden="false" customHeight="false" outlineLevel="0" collapsed="false">
      <c r="A7" s="5" t="n">
        <v>5</v>
      </c>
      <c r="B7" s="4" t="s">
        <v>12</v>
      </c>
      <c r="C7" s="4" t="s">
        <v>13</v>
      </c>
      <c r="D7" s="5" t="s">
        <v>93</v>
      </c>
      <c r="E7" s="5" t="s">
        <v>94</v>
      </c>
      <c r="F7" s="11" t="s">
        <v>7</v>
      </c>
      <c r="G7" s="4" t="s">
        <v>103</v>
      </c>
      <c r="H7" s="4" t="s">
        <v>104</v>
      </c>
      <c r="I7" s="4" t="s">
        <v>105</v>
      </c>
      <c r="J7" s="4" t="s">
        <v>106</v>
      </c>
      <c r="K7" s="5"/>
      <c r="L7" s="4"/>
    </row>
    <row r="8" customFormat="false" ht="23.85" hidden="false" customHeight="false" outlineLevel="0" collapsed="false">
      <c r="A8" s="5" t="n">
        <v>6</v>
      </c>
      <c r="B8" s="4" t="s">
        <v>12</v>
      </c>
      <c r="C8" s="4" t="s">
        <v>13</v>
      </c>
      <c r="D8" s="5" t="s">
        <v>107</v>
      </c>
      <c r="E8" s="5" t="s">
        <v>108</v>
      </c>
      <c r="F8" s="9" t="s">
        <v>6</v>
      </c>
      <c r="G8" s="4" t="s">
        <v>109</v>
      </c>
      <c r="H8" s="4" t="s">
        <v>110</v>
      </c>
      <c r="I8" s="4" t="s">
        <v>111</v>
      </c>
      <c r="J8" s="4" t="s">
        <v>112</v>
      </c>
      <c r="K8" s="5"/>
      <c r="L8" s="4"/>
    </row>
    <row r="9" customFormat="false" ht="23.85" hidden="false" customHeight="false" outlineLevel="0" collapsed="false">
      <c r="A9" s="5" t="n">
        <v>7</v>
      </c>
      <c r="B9" s="4" t="s">
        <v>12</v>
      </c>
      <c r="C9" s="4" t="s">
        <v>13</v>
      </c>
      <c r="D9" s="5" t="s">
        <v>107</v>
      </c>
      <c r="E9" s="5" t="s">
        <v>108</v>
      </c>
      <c r="F9" s="10" t="s">
        <v>5</v>
      </c>
      <c r="G9" s="4" t="s">
        <v>113</v>
      </c>
      <c r="H9" s="4" t="s">
        <v>114</v>
      </c>
      <c r="I9" s="4" t="s">
        <v>115</v>
      </c>
      <c r="J9" s="4" t="s">
        <v>116</v>
      </c>
      <c r="K9" s="5"/>
      <c r="L9" s="4"/>
    </row>
    <row r="10" customFormat="false" ht="23.85" hidden="false" customHeight="false" outlineLevel="0" collapsed="false">
      <c r="A10" s="5" t="n">
        <v>8</v>
      </c>
      <c r="B10" s="4" t="s">
        <v>12</v>
      </c>
      <c r="C10" s="4" t="s">
        <v>13</v>
      </c>
      <c r="D10" s="5" t="s">
        <v>117</v>
      </c>
      <c r="E10" s="5" t="s">
        <v>118</v>
      </c>
      <c r="F10" s="9" t="s">
        <v>6</v>
      </c>
      <c r="G10" s="4" t="s">
        <v>119</v>
      </c>
      <c r="H10" s="4" t="s">
        <v>120</v>
      </c>
      <c r="I10" s="4" t="s">
        <v>121</v>
      </c>
      <c r="J10" s="4" t="s">
        <v>122</v>
      </c>
      <c r="K10" s="5"/>
      <c r="L10" s="4"/>
    </row>
    <row r="11" customFormat="false" ht="23.85" hidden="false" customHeight="false" outlineLevel="0" collapsed="false">
      <c r="A11" s="5" t="n">
        <v>9</v>
      </c>
      <c r="B11" s="4" t="s">
        <v>12</v>
      </c>
      <c r="C11" s="4" t="s">
        <v>13</v>
      </c>
      <c r="D11" s="5" t="s">
        <v>117</v>
      </c>
      <c r="E11" s="5" t="s">
        <v>118</v>
      </c>
      <c r="F11" s="9" t="s">
        <v>6</v>
      </c>
      <c r="G11" s="4" t="s">
        <v>123</v>
      </c>
      <c r="H11" s="4" t="s">
        <v>110</v>
      </c>
      <c r="I11" s="4" t="s">
        <v>111</v>
      </c>
      <c r="J11" s="4" t="s">
        <v>112</v>
      </c>
      <c r="K11" s="5"/>
      <c r="L11" s="4"/>
    </row>
    <row r="12" customFormat="false" ht="23.85" hidden="false" customHeight="false" outlineLevel="0" collapsed="false">
      <c r="A12" s="5" t="n">
        <v>10</v>
      </c>
      <c r="B12" s="4" t="s">
        <v>12</v>
      </c>
      <c r="C12" s="4" t="s">
        <v>13</v>
      </c>
      <c r="D12" s="5" t="s">
        <v>117</v>
      </c>
      <c r="E12" s="5" t="s">
        <v>118</v>
      </c>
      <c r="F12" s="10" t="s">
        <v>5</v>
      </c>
      <c r="G12" s="4" t="s">
        <v>124</v>
      </c>
      <c r="H12" s="4" t="s">
        <v>125</v>
      </c>
      <c r="I12" s="4" t="s">
        <v>126</v>
      </c>
      <c r="J12" s="4" t="s">
        <v>127</v>
      </c>
      <c r="K12" s="5"/>
      <c r="L12" s="4"/>
    </row>
    <row r="13" customFormat="false" ht="23.85" hidden="false" customHeight="false" outlineLevel="0" collapsed="false">
      <c r="A13" s="5" t="n">
        <v>11</v>
      </c>
      <c r="B13" s="4" t="s">
        <v>12</v>
      </c>
      <c r="C13" s="4" t="s">
        <v>13</v>
      </c>
      <c r="D13" s="5" t="s">
        <v>117</v>
      </c>
      <c r="E13" s="5" t="s">
        <v>118</v>
      </c>
      <c r="F13" s="10" t="s">
        <v>5</v>
      </c>
      <c r="G13" s="4" t="s">
        <v>128</v>
      </c>
      <c r="H13" s="4" t="s">
        <v>129</v>
      </c>
      <c r="I13" s="4" t="s">
        <v>130</v>
      </c>
      <c r="J13" s="4" t="s">
        <v>131</v>
      </c>
      <c r="K13" s="5"/>
      <c r="L13" s="4"/>
    </row>
    <row r="14" customFormat="false" ht="23.85" hidden="false" customHeight="false" outlineLevel="0" collapsed="false">
      <c r="A14" s="5" t="n">
        <v>12</v>
      </c>
      <c r="B14" s="4" t="s">
        <v>12</v>
      </c>
      <c r="C14" s="4" t="s">
        <v>13</v>
      </c>
      <c r="D14" s="5" t="s">
        <v>132</v>
      </c>
      <c r="E14" s="5" t="s">
        <v>133</v>
      </c>
      <c r="F14" s="10" t="s">
        <v>5</v>
      </c>
      <c r="G14" s="4" t="s">
        <v>134</v>
      </c>
      <c r="H14" s="4" t="s">
        <v>135</v>
      </c>
      <c r="I14" s="4" t="s">
        <v>136</v>
      </c>
      <c r="J14" s="4" t="s">
        <v>137</v>
      </c>
      <c r="K14" s="5"/>
      <c r="L14" s="4"/>
    </row>
    <row r="15" customFormat="false" ht="23.85" hidden="false" customHeight="false" outlineLevel="0" collapsed="false">
      <c r="A15" s="5" t="n">
        <v>13</v>
      </c>
      <c r="B15" s="4" t="s">
        <v>12</v>
      </c>
      <c r="C15" s="4" t="s">
        <v>13</v>
      </c>
      <c r="D15" s="5" t="s">
        <v>138</v>
      </c>
      <c r="E15" s="5" t="s">
        <v>139</v>
      </c>
      <c r="F15" s="12" t="s">
        <v>8</v>
      </c>
      <c r="G15" s="4" t="s">
        <v>140</v>
      </c>
      <c r="H15" s="4" t="s">
        <v>141</v>
      </c>
      <c r="I15" s="4" t="s">
        <v>142</v>
      </c>
      <c r="J15" s="4" t="s">
        <v>143</v>
      </c>
      <c r="K15" s="5"/>
      <c r="L15" s="4"/>
    </row>
    <row r="16" customFormat="false" ht="23.85" hidden="false" customHeight="false" outlineLevel="0" collapsed="false">
      <c r="A16" s="5" t="n">
        <v>14</v>
      </c>
      <c r="B16" s="4" t="s">
        <v>12</v>
      </c>
      <c r="C16" s="4" t="s">
        <v>13</v>
      </c>
      <c r="D16" s="5" t="s">
        <v>144</v>
      </c>
      <c r="E16" s="5"/>
      <c r="F16" s="12" t="s">
        <v>8</v>
      </c>
      <c r="G16" s="4" t="s">
        <v>145</v>
      </c>
      <c r="H16" s="4" t="s">
        <v>146</v>
      </c>
      <c r="I16" s="4" t="s">
        <v>147</v>
      </c>
      <c r="J16" s="4" t="s">
        <v>148</v>
      </c>
      <c r="K16" s="5"/>
      <c r="L16" s="4"/>
    </row>
    <row r="17" customFormat="false" ht="23.85" hidden="false" customHeight="false" outlineLevel="0" collapsed="false">
      <c r="A17" s="5" t="n">
        <v>15</v>
      </c>
      <c r="B17" s="4" t="s">
        <v>12</v>
      </c>
      <c r="C17" s="4" t="s">
        <v>13</v>
      </c>
      <c r="D17" s="5" t="s">
        <v>149</v>
      </c>
      <c r="E17" s="5"/>
      <c r="F17" s="12" t="s">
        <v>8</v>
      </c>
      <c r="G17" s="4" t="s">
        <v>150</v>
      </c>
      <c r="H17" s="4" t="s">
        <v>151</v>
      </c>
      <c r="I17" s="4" t="s">
        <v>152</v>
      </c>
      <c r="J17" s="4" t="s">
        <v>153</v>
      </c>
      <c r="K17" s="5"/>
      <c r="L17" s="4"/>
    </row>
    <row r="18" customFormat="false" ht="23.85" hidden="false" customHeight="false" outlineLevel="0" collapsed="false">
      <c r="A18" s="5" t="n">
        <v>16</v>
      </c>
      <c r="B18" s="4" t="s">
        <v>12</v>
      </c>
      <c r="C18" s="4" t="s">
        <v>15</v>
      </c>
      <c r="D18" s="5" t="s">
        <v>144</v>
      </c>
      <c r="E18" s="5"/>
      <c r="F18" s="9" t="s">
        <v>6</v>
      </c>
      <c r="G18" s="4" t="s">
        <v>154</v>
      </c>
      <c r="H18" s="4" t="s">
        <v>155</v>
      </c>
      <c r="I18" s="4" t="s">
        <v>156</v>
      </c>
      <c r="J18" s="4" t="s">
        <v>157</v>
      </c>
      <c r="K18" s="5"/>
      <c r="L18" s="4"/>
    </row>
    <row r="19" customFormat="false" ht="23.85" hidden="false" customHeight="false" outlineLevel="0" collapsed="false">
      <c r="A19" s="5" t="n">
        <v>17</v>
      </c>
      <c r="B19" s="4" t="s">
        <v>12</v>
      </c>
      <c r="C19" s="4" t="s">
        <v>15</v>
      </c>
      <c r="D19" s="5" t="s">
        <v>81</v>
      </c>
      <c r="E19" s="5" t="s">
        <v>82</v>
      </c>
      <c r="F19" s="9" t="s">
        <v>6</v>
      </c>
      <c r="G19" s="4" t="s">
        <v>158</v>
      </c>
      <c r="H19" s="4" t="s">
        <v>159</v>
      </c>
      <c r="I19" s="4" t="s">
        <v>160</v>
      </c>
      <c r="J19" s="4" t="s">
        <v>161</v>
      </c>
      <c r="K19" s="5"/>
      <c r="L19" s="4"/>
    </row>
    <row r="20" customFormat="false" ht="23.85" hidden="false" customHeight="false" outlineLevel="0" collapsed="false">
      <c r="A20" s="5" t="n">
        <v>18</v>
      </c>
      <c r="B20" s="4" t="s">
        <v>12</v>
      </c>
      <c r="C20" s="4" t="s">
        <v>15</v>
      </c>
      <c r="D20" s="5" t="s">
        <v>162</v>
      </c>
      <c r="E20" s="5" t="s">
        <v>163</v>
      </c>
      <c r="F20" s="11" t="s">
        <v>7</v>
      </c>
      <c r="G20" s="4" t="s">
        <v>164</v>
      </c>
      <c r="H20" s="4" t="s">
        <v>165</v>
      </c>
      <c r="I20" s="4" t="s">
        <v>166</v>
      </c>
      <c r="J20" s="4" t="s">
        <v>167</v>
      </c>
      <c r="K20" s="5"/>
      <c r="L20" s="4"/>
    </row>
    <row r="21" customFormat="false" ht="23.85" hidden="false" customHeight="false" outlineLevel="0" collapsed="false">
      <c r="A21" s="5" t="n">
        <v>19</v>
      </c>
      <c r="B21" s="4" t="s">
        <v>12</v>
      </c>
      <c r="C21" s="4" t="s">
        <v>15</v>
      </c>
      <c r="D21" s="5" t="s">
        <v>93</v>
      </c>
      <c r="E21" s="5" t="s">
        <v>94</v>
      </c>
      <c r="F21" s="9" t="s">
        <v>6</v>
      </c>
      <c r="G21" s="4" t="s">
        <v>168</v>
      </c>
      <c r="H21" s="4" t="s">
        <v>169</v>
      </c>
      <c r="I21" s="4" t="s">
        <v>170</v>
      </c>
      <c r="J21" s="4" t="s">
        <v>171</v>
      </c>
      <c r="K21" s="5"/>
      <c r="L21" s="4"/>
    </row>
    <row r="22" customFormat="false" ht="23.85" hidden="false" customHeight="false" outlineLevel="0" collapsed="false">
      <c r="A22" s="5" t="n">
        <v>20</v>
      </c>
      <c r="B22" s="4" t="s">
        <v>12</v>
      </c>
      <c r="C22" s="4" t="s">
        <v>15</v>
      </c>
      <c r="D22" s="5" t="s">
        <v>93</v>
      </c>
      <c r="E22" s="5" t="s">
        <v>94</v>
      </c>
      <c r="F22" s="9" t="s">
        <v>6</v>
      </c>
      <c r="G22" s="4" t="s">
        <v>172</v>
      </c>
      <c r="H22" s="4" t="s">
        <v>173</v>
      </c>
      <c r="I22" s="4" t="s">
        <v>174</v>
      </c>
      <c r="J22" s="4" t="s">
        <v>175</v>
      </c>
      <c r="K22" s="5"/>
      <c r="L22" s="4"/>
    </row>
    <row r="23" customFormat="false" ht="23.85" hidden="false" customHeight="false" outlineLevel="0" collapsed="false">
      <c r="A23" s="5" t="n">
        <v>21</v>
      </c>
      <c r="B23" s="4" t="s">
        <v>12</v>
      </c>
      <c r="C23" s="4" t="s">
        <v>15</v>
      </c>
      <c r="D23" s="5" t="s">
        <v>93</v>
      </c>
      <c r="E23" s="5" t="s">
        <v>94</v>
      </c>
      <c r="F23" s="10" t="s">
        <v>5</v>
      </c>
      <c r="G23" s="4" t="s">
        <v>176</v>
      </c>
      <c r="H23" s="4" t="s">
        <v>177</v>
      </c>
      <c r="I23" s="4" t="s">
        <v>178</v>
      </c>
      <c r="J23" s="4" t="s">
        <v>179</v>
      </c>
      <c r="K23" s="5"/>
      <c r="L23" s="4"/>
    </row>
    <row r="24" customFormat="false" ht="23.85" hidden="false" customHeight="false" outlineLevel="0" collapsed="false">
      <c r="A24" s="5" t="n">
        <v>22</v>
      </c>
      <c r="B24" s="4" t="s">
        <v>12</v>
      </c>
      <c r="C24" s="4" t="s">
        <v>15</v>
      </c>
      <c r="D24" s="5" t="s">
        <v>93</v>
      </c>
      <c r="E24" s="5" t="s">
        <v>94</v>
      </c>
      <c r="F24" s="11" t="s">
        <v>7</v>
      </c>
      <c r="G24" s="4" t="s">
        <v>180</v>
      </c>
      <c r="H24" s="4" t="s">
        <v>181</v>
      </c>
      <c r="I24" s="4" t="s">
        <v>182</v>
      </c>
      <c r="J24" s="4" t="s">
        <v>106</v>
      </c>
      <c r="K24" s="5"/>
      <c r="L24" s="4"/>
    </row>
    <row r="25" customFormat="false" ht="23.85" hidden="false" customHeight="false" outlineLevel="0" collapsed="false">
      <c r="A25" s="5" t="n">
        <v>23</v>
      </c>
      <c r="B25" s="4" t="s">
        <v>12</v>
      </c>
      <c r="C25" s="4" t="s">
        <v>15</v>
      </c>
      <c r="D25" s="5" t="s">
        <v>183</v>
      </c>
      <c r="E25" s="5" t="s">
        <v>184</v>
      </c>
      <c r="F25" s="11" t="s">
        <v>7</v>
      </c>
      <c r="G25" s="4" t="s">
        <v>185</v>
      </c>
      <c r="H25" s="4" t="s">
        <v>186</v>
      </c>
      <c r="I25" s="4" t="s">
        <v>187</v>
      </c>
      <c r="J25" s="4" t="s">
        <v>188</v>
      </c>
      <c r="K25" s="5"/>
      <c r="L25" s="4"/>
    </row>
    <row r="26" customFormat="false" ht="23.85" hidden="false" customHeight="false" outlineLevel="0" collapsed="false">
      <c r="A26" s="5" t="n">
        <v>24</v>
      </c>
      <c r="B26" s="4" t="s">
        <v>12</v>
      </c>
      <c r="C26" s="4" t="s">
        <v>15</v>
      </c>
      <c r="D26" s="5" t="s">
        <v>183</v>
      </c>
      <c r="E26" s="5" t="s">
        <v>184</v>
      </c>
      <c r="F26" s="12" t="s">
        <v>8</v>
      </c>
      <c r="G26" s="4" t="s">
        <v>189</v>
      </c>
      <c r="H26" s="4" t="s">
        <v>190</v>
      </c>
      <c r="I26" s="4" t="s">
        <v>191</v>
      </c>
      <c r="J26" s="4" t="s">
        <v>192</v>
      </c>
      <c r="K26" s="5"/>
      <c r="L26" s="4"/>
    </row>
    <row r="27" customFormat="false" ht="23.85" hidden="false" customHeight="false" outlineLevel="0" collapsed="false">
      <c r="A27" s="5" t="n">
        <v>25</v>
      </c>
      <c r="B27" s="4" t="s">
        <v>12</v>
      </c>
      <c r="C27" s="4" t="s">
        <v>15</v>
      </c>
      <c r="D27" s="5" t="s">
        <v>138</v>
      </c>
      <c r="E27" s="5" t="s">
        <v>139</v>
      </c>
      <c r="F27" s="10" t="s">
        <v>5</v>
      </c>
      <c r="G27" s="4" t="s">
        <v>193</v>
      </c>
      <c r="H27" s="4" t="s">
        <v>194</v>
      </c>
      <c r="I27" s="4" t="s">
        <v>195</v>
      </c>
      <c r="J27" s="4" t="s">
        <v>196</v>
      </c>
      <c r="K27" s="5"/>
      <c r="L27" s="4"/>
    </row>
    <row r="28" customFormat="false" ht="23.85" hidden="false" customHeight="false" outlineLevel="0" collapsed="false">
      <c r="A28" s="5" t="n">
        <v>26</v>
      </c>
      <c r="B28" s="4" t="s">
        <v>12</v>
      </c>
      <c r="C28" s="4" t="s">
        <v>15</v>
      </c>
      <c r="D28" s="5" t="s">
        <v>138</v>
      </c>
      <c r="E28" s="5" t="s">
        <v>139</v>
      </c>
      <c r="F28" s="12" t="s">
        <v>8</v>
      </c>
      <c r="G28" s="4" t="s">
        <v>197</v>
      </c>
      <c r="H28" s="4" t="s">
        <v>198</v>
      </c>
      <c r="I28" s="4" t="s">
        <v>199</v>
      </c>
      <c r="J28" s="4" t="s">
        <v>200</v>
      </c>
      <c r="K28" s="5"/>
      <c r="L28" s="4"/>
    </row>
    <row r="29" customFormat="false" ht="23.85" hidden="false" customHeight="false" outlineLevel="0" collapsed="false">
      <c r="A29" s="5" t="n">
        <v>27</v>
      </c>
      <c r="B29" s="4" t="s">
        <v>12</v>
      </c>
      <c r="C29" s="4" t="s">
        <v>15</v>
      </c>
      <c r="D29" s="5" t="s">
        <v>201</v>
      </c>
      <c r="E29" s="5" t="s">
        <v>202</v>
      </c>
      <c r="F29" s="10" t="s">
        <v>5</v>
      </c>
      <c r="G29" s="4" t="s">
        <v>203</v>
      </c>
      <c r="H29" s="4" t="s">
        <v>204</v>
      </c>
      <c r="I29" s="4" t="s">
        <v>205</v>
      </c>
      <c r="J29" s="4" t="s">
        <v>206</v>
      </c>
      <c r="K29" s="5"/>
      <c r="L29" s="4"/>
    </row>
    <row r="30" customFormat="false" ht="23.85" hidden="false" customHeight="false" outlineLevel="0" collapsed="false">
      <c r="A30" s="5" t="n">
        <v>28</v>
      </c>
      <c r="B30" s="4" t="s">
        <v>12</v>
      </c>
      <c r="C30" s="4" t="s">
        <v>15</v>
      </c>
      <c r="D30" s="5" t="s">
        <v>207</v>
      </c>
      <c r="E30" s="5" t="s">
        <v>201</v>
      </c>
      <c r="F30" s="9" t="s">
        <v>6</v>
      </c>
      <c r="G30" s="4" t="s">
        <v>208</v>
      </c>
      <c r="H30" s="4" t="s">
        <v>209</v>
      </c>
      <c r="I30" s="4" t="s">
        <v>210</v>
      </c>
      <c r="J30" s="4" t="s">
        <v>153</v>
      </c>
      <c r="K30" s="5"/>
      <c r="L30" s="4"/>
    </row>
    <row r="31" customFormat="false" ht="23.85" hidden="false" customHeight="false" outlineLevel="0" collapsed="false">
      <c r="A31" s="5" t="n">
        <v>29</v>
      </c>
      <c r="B31" s="4" t="s">
        <v>12</v>
      </c>
      <c r="C31" s="4" t="s">
        <v>15</v>
      </c>
      <c r="D31" s="5" t="s">
        <v>207</v>
      </c>
      <c r="E31" s="5" t="s">
        <v>201</v>
      </c>
      <c r="F31" s="11" t="s">
        <v>7</v>
      </c>
      <c r="G31" s="4" t="s">
        <v>211</v>
      </c>
      <c r="H31" s="4" t="s">
        <v>212</v>
      </c>
      <c r="I31" s="4" t="s">
        <v>213</v>
      </c>
      <c r="J31" s="4" t="s">
        <v>214</v>
      </c>
      <c r="K31" s="5"/>
      <c r="L31" s="4"/>
    </row>
    <row r="32" customFormat="false" ht="23.85" hidden="false" customHeight="false" outlineLevel="0" collapsed="false">
      <c r="A32" s="5" t="n">
        <v>30</v>
      </c>
      <c r="B32" s="4" t="s">
        <v>12</v>
      </c>
      <c r="C32" s="4" t="s">
        <v>15</v>
      </c>
      <c r="D32" s="5" t="s">
        <v>215</v>
      </c>
      <c r="E32" s="5" t="s">
        <v>216</v>
      </c>
      <c r="F32" s="9" t="s">
        <v>6</v>
      </c>
      <c r="G32" s="4" t="s">
        <v>217</v>
      </c>
      <c r="H32" s="4" t="s">
        <v>218</v>
      </c>
      <c r="I32" s="4" t="s">
        <v>219</v>
      </c>
      <c r="J32" s="4" t="s">
        <v>153</v>
      </c>
      <c r="K32" s="5"/>
      <c r="L32" s="4"/>
    </row>
    <row r="33" customFormat="false" ht="35.05" hidden="false" customHeight="false" outlineLevel="0" collapsed="false">
      <c r="A33" s="5" t="n">
        <v>31</v>
      </c>
      <c r="B33" s="4" t="s">
        <v>12</v>
      </c>
      <c r="C33" s="4" t="s">
        <v>15</v>
      </c>
      <c r="D33" s="5" t="s">
        <v>220</v>
      </c>
      <c r="E33" s="5" t="s">
        <v>221</v>
      </c>
      <c r="F33" s="10" t="s">
        <v>5</v>
      </c>
      <c r="G33" s="4" t="s">
        <v>222</v>
      </c>
      <c r="H33" s="4" t="s">
        <v>223</v>
      </c>
      <c r="I33" s="4" t="s">
        <v>224</v>
      </c>
      <c r="J33" s="4" t="s">
        <v>225</v>
      </c>
      <c r="K33" s="5"/>
      <c r="L33" s="4"/>
    </row>
    <row r="34" customFormat="false" ht="23.85" hidden="false" customHeight="false" outlineLevel="0" collapsed="false">
      <c r="A34" s="5" t="n">
        <v>32</v>
      </c>
      <c r="B34" s="4" t="s">
        <v>12</v>
      </c>
      <c r="C34" s="4" t="s">
        <v>15</v>
      </c>
      <c r="D34" s="5" t="s">
        <v>226</v>
      </c>
      <c r="E34" s="5" t="s">
        <v>221</v>
      </c>
      <c r="F34" s="9" t="s">
        <v>6</v>
      </c>
      <c r="G34" s="4" t="s">
        <v>227</v>
      </c>
      <c r="H34" s="4" t="s">
        <v>228</v>
      </c>
      <c r="I34" s="4" t="s">
        <v>229</v>
      </c>
      <c r="J34" s="4" t="s">
        <v>153</v>
      </c>
      <c r="K34" s="5"/>
      <c r="L34" s="4"/>
    </row>
    <row r="35" customFormat="false" ht="23.85" hidden="false" customHeight="false" outlineLevel="0" collapsed="false">
      <c r="A35" s="5" t="n">
        <v>33</v>
      </c>
      <c r="B35" s="4" t="s">
        <v>12</v>
      </c>
      <c r="C35" s="4" t="s">
        <v>15</v>
      </c>
      <c r="D35" s="5" t="s">
        <v>226</v>
      </c>
      <c r="E35" s="5" t="s">
        <v>221</v>
      </c>
      <c r="F35" s="9" t="s">
        <v>6</v>
      </c>
      <c r="G35" s="4" t="s">
        <v>230</v>
      </c>
      <c r="H35" s="4" t="s">
        <v>231</v>
      </c>
      <c r="I35" s="4" t="s">
        <v>232</v>
      </c>
      <c r="J35" s="4" t="s">
        <v>153</v>
      </c>
      <c r="K35" s="5"/>
      <c r="L35" s="4"/>
    </row>
    <row r="36" customFormat="false" ht="23.85" hidden="false" customHeight="false" outlineLevel="0" collapsed="false">
      <c r="A36" s="5" t="n">
        <v>34</v>
      </c>
      <c r="B36" s="4" t="s">
        <v>12</v>
      </c>
      <c r="C36" s="4" t="s">
        <v>15</v>
      </c>
      <c r="D36" s="5" t="s">
        <v>226</v>
      </c>
      <c r="E36" s="5" t="s">
        <v>221</v>
      </c>
      <c r="F36" s="11" t="s">
        <v>7</v>
      </c>
      <c r="G36" s="4" t="s">
        <v>233</v>
      </c>
      <c r="H36" s="4" t="s">
        <v>234</v>
      </c>
      <c r="I36" s="4" t="s">
        <v>235</v>
      </c>
      <c r="J36" s="4" t="s">
        <v>153</v>
      </c>
      <c r="K36" s="5"/>
      <c r="L36" s="4"/>
    </row>
    <row r="37" customFormat="false" ht="23.85" hidden="false" customHeight="false" outlineLevel="0" collapsed="false">
      <c r="A37" s="5" t="n">
        <v>35</v>
      </c>
      <c r="B37" s="4" t="s">
        <v>12</v>
      </c>
      <c r="C37" s="4" t="s">
        <v>15</v>
      </c>
      <c r="D37" s="5" t="s">
        <v>226</v>
      </c>
      <c r="E37" s="5" t="s">
        <v>221</v>
      </c>
      <c r="F37" s="11" t="s">
        <v>7</v>
      </c>
      <c r="G37" s="4" t="s">
        <v>236</v>
      </c>
      <c r="H37" s="4" t="s">
        <v>237</v>
      </c>
      <c r="I37" s="4" t="s">
        <v>238</v>
      </c>
      <c r="J37" s="4" t="s">
        <v>239</v>
      </c>
      <c r="K37" s="5"/>
      <c r="L37" s="4"/>
    </row>
    <row r="38" customFormat="false" ht="23.85" hidden="false" customHeight="false" outlineLevel="0" collapsed="false">
      <c r="A38" s="5" t="n">
        <v>36</v>
      </c>
      <c r="B38" s="4" t="s">
        <v>12</v>
      </c>
      <c r="C38" s="4" t="s">
        <v>15</v>
      </c>
      <c r="D38" s="5" t="s">
        <v>240</v>
      </c>
      <c r="E38" s="5" t="s">
        <v>215</v>
      </c>
      <c r="F38" s="10" t="s">
        <v>5</v>
      </c>
      <c r="G38" s="4" t="s">
        <v>241</v>
      </c>
      <c r="H38" s="4" t="s">
        <v>242</v>
      </c>
      <c r="I38" s="4" t="s">
        <v>243</v>
      </c>
      <c r="J38" s="4" t="s">
        <v>244</v>
      </c>
      <c r="K38" s="5"/>
      <c r="L38" s="4"/>
    </row>
    <row r="39" customFormat="false" ht="23.85" hidden="false" customHeight="false" outlineLevel="0" collapsed="false">
      <c r="A39" s="5" t="n">
        <v>37</v>
      </c>
      <c r="B39" s="4" t="s">
        <v>12</v>
      </c>
      <c r="C39" s="4" t="s">
        <v>15</v>
      </c>
      <c r="D39" s="5" t="s">
        <v>240</v>
      </c>
      <c r="E39" s="5" t="s">
        <v>215</v>
      </c>
      <c r="F39" s="11" t="s">
        <v>7</v>
      </c>
      <c r="G39" s="4" t="s">
        <v>245</v>
      </c>
      <c r="H39" s="4" t="s">
        <v>246</v>
      </c>
      <c r="I39" s="4" t="s">
        <v>247</v>
      </c>
      <c r="J39" s="4" t="s">
        <v>214</v>
      </c>
      <c r="K39" s="5"/>
      <c r="L39" s="4"/>
    </row>
    <row r="40" customFormat="false" ht="23.85" hidden="false" customHeight="false" outlineLevel="0" collapsed="false">
      <c r="A40" s="5" t="n">
        <v>38</v>
      </c>
      <c r="B40" s="4" t="s">
        <v>12</v>
      </c>
      <c r="C40" s="4" t="s">
        <v>15</v>
      </c>
      <c r="D40" s="5" t="s">
        <v>248</v>
      </c>
      <c r="E40" s="5" t="s">
        <v>249</v>
      </c>
      <c r="F40" s="9" t="s">
        <v>6</v>
      </c>
      <c r="G40" s="4" t="s">
        <v>250</v>
      </c>
      <c r="H40" s="4" t="s">
        <v>251</v>
      </c>
      <c r="I40" s="4" t="s">
        <v>252</v>
      </c>
      <c r="J40" s="4" t="s">
        <v>253</v>
      </c>
      <c r="K40" s="5"/>
      <c r="L40" s="4"/>
    </row>
    <row r="41" customFormat="false" ht="23.85" hidden="false" customHeight="false" outlineLevel="0" collapsed="false">
      <c r="A41" s="5" t="n">
        <v>39</v>
      </c>
      <c r="B41" s="4" t="s">
        <v>12</v>
      </c>
      <c r="C41" s="4" t="s">
        <v>15</v>
      </c>
      <c r="D41" s="5" t="s">
        <v>254</v>
      </c>
      <c r="E41" s="5" t="s">
        <v>240</v>
      </c>
      <c r="F41" s="9" t="s">
        <v>6</v>
      </c>
      <c r="G41" s="4" t="s">
        <v>255</v>
      </c>
      <c r="H41" s="4" t="s">
        <v>256</v>
      </c>
      <c r="I41" s="4" t="s">
        <v>257</v>
      </c>
      <c r="J41" s="4" t="s">
        <v>171</v>
      </c>
      <c r="K41" s="5"/>
      <c r="L41" s="4"/>
    </row>
    <row r="42" customFormat="false" ht="23.85" hidden="false" customHeight="false" outlineLevel="0" collapsed="false">
      <c r="A42" s="5" t="n">
        <v>40</v>
      </c>
      <c r="B42" s="4" t="s">
        <v>12</v>
      </c>
      <c r="C42" s="4" t="s">
        <v>15</v>
      </c>
      <c r="D42" s="5" t="s">
        <v>254</v>
      </c>
      <c r="E42" s="5" t="s">
        <v>240</v>
      </c>
      <c r="F42" s="9" t="s">
        <v>6</v>
      </c>
      <c r="G42" s="4" t="s">
        <v>258</v>
      </c>
      <c r="H42" s="4" t="s">
        <v>259</v>
      </c>
      <c r="I42" s="4" t="s">
        <v>260</v>
      </c>
      <c r="J42" s="4" t="s">
        <v>200</v>
      </c>
      <c r="K42" s="5"/>
      <c r="L42" s="4"/>
    </row>
    <row r="43" customFormat="false" ht="23.85" hidden="false" customHeight="false" outlineLevel="0" collapsed="false">
      <c r="A43" s="5" t="n">
        <v>41</v>
      </c>
      <c r="B43" s="4" t="s">
        <v>12</v>
      </c>
      <c r="C43" s="4" t="s">
        <v>15</v>
      </c>
      <c r="D43" s="5" t="s">
        <v>254</v>
      </c>
      <c r="E43" s="5" t="s">
        <v>240</v>
      </c>
      <c r="F43" s="9" t="s">
        <v>6</v>
      </c>
      <c r="G43" s="4" t="s">
        <v>261</v>
      </c>
      <c r="H43" s="4" t="s">
        <v>262</v>
      </c>
      <c r="I43" s="4" t="s">
        <v>263</v>
      </c>
      <c r="J43" s="4" t="s">
        <v>264</v>
      </c>
      <c r="K43" s="5"/>
      <c r="L43" s="4"/>
    </row>
    <row r="44" customFormat="false" ht="23.85" hidden="false" customHeight="false" outlineLevel="0" collapsed="false">
      <c r="A44" s="5" t="n">
        <v>42</v>
      </c>
      <c r="B44" s="4" t="s">
        <v>12</v>
      </c>
      <c r="C44" s="4" t="s">
        <v>15</v>
      </c>
      <c r="D44" s="5" t="s">
        <v>265</v>
      </c>
      <c r="E44" s="5" t="s">
        <v>266</v>
      </c>
      <c r="F44" s="9" t="s">
        <v>6</v>
      </c>
      <c r="G44" s="4" t="s">
        <v>267</v>
      </c>
      <c r="H44" s="4" t="s">
        <v>268</v>
      </c>
      <c r="I44" s="4" t="s">
        <v>269</v>
      </c>
      <c r="J44" s="4" t="s">
        <v>153</v>
      </c>
      <c r="K44" s="5"/>
      <c r="L44" s="4"/>
    </row>
    <row r="45" customFormat="false" ht="23.85" hidden="false" customHeight="false" outlineLevel="0" collapsed="false">
      <c r="A45" s="5" t="n">
        <v>43</v>
      </c>
      <c r="B45" s="4" t="s">
        <v>12</v>
      </c>
      <c r="C45" s="4" t="s">
        <v>15</v>
      </c>
      <c r="D45" s="5" t="s">
        <v>270</v>
      </c>
      <c r="E45" s="5" t="s">
        <v>271</v>
      </c>
      <c r="F45" s="10" t="s">
        <v>5</v>
      </c>
      <c r="G45" s="4" t="s">
        <v>272</v>
      </c>
      <c r="H45" s="4" t="s">
        <v>273</v>
      </c>
      <c r="I45" s="4" t="s">
        <v>274</v>
      </c>
      <c r="J45" s="4" t="s">
        <v>275</v>
      </c>
      <c r="K45" s="5"/>
      <c r="L45" s="4"/>
    </row>
    <row r="46" customFormat="false" ht="23.85" hidden="false" customHeight="false" outlineLevel="0" collapsed="false">
      <c r="A46" s="5" t="n">
        <v>44</v>
      </c>
      <c r="B46" s="4" t="s">
        <v>12</v>
      </c>
      <c r="C46" s="4" t="s">
        <v>15</v>
      </c>
      <c r="D46" s="5" t="s">
        <v>270</v>
      </c>
      <c r="E46" s="5" t="s">
        <v>271</v>
      </c>
      <c r="F46" s="11" t="s">
        <v>7</v>
      </c>
      <c r="G46" s="4" t="s">
        <v>276</v>
      </c>
      <c r="H46" s="4" t="s">
        <v>277</v>
      </c>
      <c r="I46" s="4" t="s">
        <v>278</v>
      </c>
      <c r="J46" s="4" t="s">
        <v>279</v>
      </c>
      <c r="K46" s="5"/>
      <c r="L46" s="4"/>
    </row>
    <row r="47" customFormat="false" ht="23.85" hidden="false" customHeight="false" outlineLevel="0" collapsed="false">
      <c r="A47" s="5" t="n">
        <v>45</v>
      </c>
      <c r="B47" s="4" t="s">
        <v>12</v>
      </c>
      <c r="C47" s="4" t="s">
        <v>15</v>
      </c>
      <c r="D47" s="5" t="s">
        <v>280</v>
      </c>
      <c r="E47" s="5" t="s">
        <v>270</v>
      </c>
      <c r="F47" s="9" t="s">
        <v>6</v>
      </c>
      <c r="G47" s="4" t="s">
        <v>281</v>
      </c>
      <c r="H47" s="4" t="s">
        <v>282</v>
      </c>
      <c r="I47" s="4" t="s">
        <v>283</v>
      </c>
      <c r="J47" s="4" t="s">
        <v>214</v>
      </c>
      <c r="K47" s="5"/>
      <c r="L47" s="4"/>
    </row>
    <row r="48" customFormat="false" ht="23.85" hidden="false" customHeight="false" outlineLevel="0" collapsed="false">
      <c r="A48" s="5" t="n">
        <v>46</v>
      </c>
      <c r="B48" s="4" t="s">
        <v>12</v>
      </c>
      <c r="C48" s="4" t="s">
        <v>15</v>
      </c>
      <c r="D48" s="5" t="s">
        <v>280</v>
      </c>
      <c r="E48" s="5" t="s">
        <v>270</v>
      </c>
      <c r="F48" s="9" t="s">
        <v>6</v>
      </c>
      <c r="G48" s="4" t="s">
        <v>284</v>
      </c>
      <c r="H48" s="4" t="s">
        <v>285</v>
      </c>
      <c r="I48" s="4" t="s">
        <v>286</v>
      </c>
      <c r="J48" s="4" t="s">
        <v>112</v>
      </c>
      <c r="K48" s="5"/>
      <c r="L48" s="4"/>
    </row>
    <row r="49" customFormat="false" ht="23.85" hidden="false" customHeight="false" outlineLevel="0" collapsed="false">
      <c r="A49" s="5" t="n">
        <v>47</v>
      </c>
      <c r="B49" s="4" t="s">
        <v>12</v>
      </c>
      <c r="C49" s="4" t="s">
        <v>15</v>
      </c>
      <c r="D49" s="5" t="s">
        <v>280</v>
      </c>
      <c r="E49" s="5" t="s">
        <v>270</v>
      </c>
      <c r="F49" s="12" t="s">
        <v>8</v>
      </c>
      <c r="G49" s="4" t="s">
        <v>287</v>
      </c>
      <c r="H49" s="4" t="s">
        <v>288</v>
      </c>
      <c r="I49" s="4" t="s">
        <v>289</v>
      </c>
      <c r="J49" s="4" t="s">
        <v>153</v>
      </c>
      <c r="K49" s="5"/>
      <c r="L49" s="4"/>
    </row>
    <row r="50" customFormat="false" ht="23.85" hidden="false" customHeight="false" outlineLevel="0" collapsed="false">
      <c r="A50" s="5" t="n">
        <v>48</v>
      </c>
      <c r="B50" s="4" t="s">
        <v>12</v>
      </c>
      <c r="C50" s="4" t="s">
        <v>15</v>
      </c>
      <c r="D50" s="5" t="s">
        <v>290</v>
      </c>
      <c r="E50" s="5" t="s">
        <v>280</v>
      </c>
      <c r="F50" s="9" t="s">
        <v>6</v>
      </c>
      <c r="G50" s="4" t="s">
        <v>291</v>
      </c>
      <c r="H50" s="4" t="s">
        <v>292</v>
      </c>
      <c r="I50" s="4" t="s">
        <v>293</v>
      </c>
      <c r="J50" s="4" t="s">
        <v>294</v>
      </c>
      <c r="K50" s="5"/>
      <c r="L50" s="4"/>
    </row>
    <row r="51" customFormat="false" ht="23.85" hidden="false" customHeight="false" outlineLevel="0" collapsed="false">
      <c r="A51" s="5" t="n">
        <v>49</v>
      </c>
      <c r="B51" s="4" t="s">
        <v>12</v>
      </c>
      <c r="C51" s="4" t="s">
        <v>15</v>
      </c>
      <c r="D51" s="5" t="s">
        <v>290</v>
      </c>
      <c r="E51" s="5" t="s">
        <v>280</v>
      </c>
      <c r="F51" s="11" t="s">
        <v>7</v>
      </c>
      <c r="G51" s="4" t="s">
        <v>295</v>
      </c>
      <c r="H51" s="4" t="s">
        <v>296</v>
      </c>
      <c r="I51" s="4" t="s">
        <v>297</v>
      </c>
      <c r="J51" s="4" t="s">
        <v>298</v>
      </c>
      <c r="K51" s="5"/>
      <c r="L51" s="4"/>
    </row>
    <row r="52" customFormat="false" ht="23.85" hidden="false" customHeight="false" outlineLevel="0" collapsed="false">
      <c r="A52" s="5" t="n">
        <v>50</v>
      </c>
      <c r="B52" s="4" t="s">
        <v>12</v>
      </c>
      <c r="C52" s="4" t="s">
        <v>15</v>
      </c>
      <c r="D52" s="5" t="s">
        <v>299</v>
      </c>
      <c r="E52" s="5" t="s">
        <v>300</v>
      </c>
      <c r="F52" s="9" t="s">
        <v>6</v>
      </c>
      <c r="G52" s="4" t="s">
        <v>301</v>
      </c>
      <c r="H52" s="4" t="s">
        <v>302</v>
      </c>
      <c r="I52" s="4" t="s">
        <v>303</v>
      </c>
      <c r="J52" s="4" t="s">
        <v>304</v>
      </c>
      <c r="K52" s="5"/>
      <c r="L52" s="4"/>
    </row>
    <row r="53" customFormat="false" ht="23.85" hidden="false" customHeight="false" outlineLevel="0" collapsed="false">
      <c r="A53" s="5" t="n">
        <v>51</v>
      </c>
      <c r="B53" s="4" t="s">
        <v>12</v>
      </c>
      <c r="C53" s="4" t="s">
        <v>15</v>
      </c>
      <c r="D53" s="5" t="s">
        <v>305</v>
      </c>
      <c r="E53" s="5" t="s">
        <v>290</v>
      </c>
      <c r="F53" s="10" t="s">
        <v>5</v>
      </c>
      <c r="G53" s="4" t="s">
        <v>306</v>
      </c>
      <c r="H53" s="4" t="s">
        <v>307</v>
      </c>
      <c r="I53" s="4" t="s">
        <v>308</v>
      </c>
      <c r="J53" s="4" t="s">
        <v>143</v>
      </c>
      <c r="K53" s="5"/>
      <c r="L53" s="4"/>
    </row>
    <row r="54" customFormat="false" ht="23.85" hidden="false" customHeight="false" outlineLevel="0" collapsed="false">
      <c r="A54" s="5" t="n">
        <v>52</v>
      </c>
      <c r="B54" s="4" t="s">
        <v>12</v>
      </c>
      <c r="C54" s="4" t="s">
        <v>15</v>
      </c>
      <c r="D54" s="5" t="s">
        <v>305</v>
      </c>
      <c r="E54" s="5" t="s">
        <v>290</v>
      </c>
      <c r="F54" s="10" t="s">
        <v>5</v>
      </c>
      <c r="G54" s="4" t="s">
        <v>309</v>
      </c>
      <c r="H54" s="4" t="s">
        <v>310</v>
      </c>
      <c r="I54" s="4" t="s">
        <v>311</v>
      </c>
      <c r="J54" s="4" t="s">
        <v>312</v>
      </c>
      <c r="K54" s="5"/>
      <c r="L54" s="4"/>
    </row>
    <row r="55" customFormat="false" ht="23.85" hidden="false" customHeight="false" outlineLevel="0" collapsed="false">
      <c r="A55" s="5" t="n">
        <v>53</v>
      </c>
      <c r="B55" s="4" t="s">
        <v>12</v>
      </c>
      <c r="C55" s="4" t="s">
        <v>15</v>
      </c>
      <c r="D55" s="5" t="s">
        <v>305</v>
      </c>
      <c r="E55" s="5" t="s">
        <v>290</v>
      </c>
      <c r="F55" s="11" t="s">
        <v>7</v>
      </c>
      <c r="G55" s="4" t="s">
        <v>313</v>
      </c>
      <c r="H55" s="4" t="s">
        <v>314</v>
      </c>
      <c r="I55" s="4" t="s">
        <v>315</v>
      </c>
      <c r="J55" s="4" t="s">
        <v>279</v>
      </c>
      <c r="K55" s="5"/>
      <c r="L55" s="4"/>
    </row>
    <row r="56" customFormat="false" ht="23.85" hidden="false" customHeight="false" outlineLevel="0" collapsed="false">
      <c r="A56" s="5" t="n">
        <v>54</v>
      </c>
      <c r="B56" s="4" t="s">
        <v>12</v>
      </c>
      <c r="C56" s="4" t="s">
        <v>15</v>
      </c>
      <c r="D56" s="5" t="s">
        <v>316</v>
      </c>
      <c r="E56" s="5" t="s">
        <v>305</v>
      </c>
      <c r="F56" s="9" t="s">
        <v>6</v>
      </c>
      <c r="G56" s="4" t="s">
        <v>317</v>
      </c>
      <c r="H56" s="4" t="s">
        <v>318</v>
      </c>
      <c r="I56" s="4" t="s">
        <v>319</v>
      </c>
      <c r="J56" s="4" t="s">
        <v>320</v>
      </c>
      <c r="K56" s="5"/>
      <c r="L56" s="4"/>
    </row>
    <row r="57" customFormat="false" ht="23.85" hidden="false" customHeight="false" outlineLevel="0" collapsed="false">
      <c r="A57" s="5" t="n">
        <v>55</v>
      </c>
      <c r="B57" s="4" t="s">
        <v>12</v>
      </c>
      <c r="C57" s="4" t="s">
        <v>15</v>
      </c>
      <c r="D57" s="5" t="s">
        <v>316</v>
      </c>
      <c r="E57" s="5" t="s">
        <v>305</v>
      </c>
      <c r="F57" s="11" t="s">
        <v>7</v>
      </c>
      <c r="G57" s="4" t="s">
        <v>321</v>
      </c>
      <c r="H57" s="4" t="s">
        <v>322</v>
      </c>
      <c r="I57" s="4" t="s">
        <v>323</v>
      </c>
      <c r="J57" s="4" t="s">
        <v>324</v>
      </c>
      <c r="K57" s="5"/>
      <c r="L57" s="4"/>
    </row>
    <row r="58" customFormat="false" ht="23.85" hidden="false" customHeight="false" outlineLevel="0" collapsed="false">
      <c r="A58" s="5" t="n">
        <v>56</v>
      </c>
      <c r="B58" s="4" t="s">
        <v>12</v>
      </c>
      <c r="C58" s="4" t="s">
        <v>15</v>
      </c>
      <c r="D58" s="5" t="s">
        <v>325</v>
      </c>
      <c r="E58" s="5" t="s">
        <v>316</v>
      </c>
      <c r="F58" s="10" t="s">
        <v>5</v>
      </c>
      <c r="G58" s="4" t="s">
        <v>326</v>
      </c>
      <c r="H58" s="4" t="s">
        <v>327</v>
      </c>
      <c r="I58" s="4" t="s">
        <v>328</v>
      </c>
      <c r="J58" s="4" t="s">
        <v>329</v>
      </c>
      <c r="K58" s="5"/>
      <c r="L58" s="4"/>
    </row>
    <row r="59" customFormat="false" ht="23.85" hidden="false" customHeight="false" outlineLevel="0" collapsed="false">
      <c r="A59" s="5" t="n">
        <v>57</v>
      </c>
      <c r="B59" s="4" t="s">
        <v>12</v>
      </c>
      <c r="C59" s="4" t="s">
        <v>15</v>
      </c>
      <c r="D59" s="5" t="s">
        <v>325</v>
      </c>
      <c r="E59" s="5" t="s">
        <v>316</v>
      </c>
      <c r="F59" s="11" t="s">
        <v>7</v>
      </c>
      <c r="G59" s="4" t="s">
        <v>330</v>
      </c>
      <c r="H59" s="4" t="s">
        <v>331</v>
      </c>
      <c r="I59" s="4" t="s">
        <v>332</v>
      </c>
      <c r="J59" s="4" t="s">
        <v>333</v>
      </c>
      <c r="K59" s="5"/>
      <c r="L59" s="4"/>
    </row>
    <row r="60" customFormat="false" ht="23.85" hidden="false" customHeight="false" outlineLevel="0" collapsed="false">
      <c r="A60" s="5" t="n">
        <v>58</v>
      </c>
      <c r="B60" s="4" t="s">
        <v>12</v>
      </c>
      <c r="C60" s="4" t="s">
        <v>15</v>
      </c>
      <c r="D60" s="5" t="s">
        <v>149</v>
      </c>
      <c r="E60" s="5"/>
      <c r="F60" s="12" t="s">
        <v>8</v>
      </c>
      <c r="G60" s="4" t="s">
        <v>150</v>
      </c>
      <c r="H60" s="4" t="s">
        <v>334</v>
      </c>
      <c r="I60" s="4" t="s">
        <v>335</v>
      </c>
      <c r="J60" s="4" t="s">
        <v>153</v>
      </c>
      <c r="K60" s="5"/>
      <c r="L60" s="4"/>
    </row>
    <row r="61" customFormat="false" ht="23.85" hidden="false" customHeight="false" outlineLevel="0" collapsed="false">
      <c r="A61" s="5" t="n">
        <v>59</v>
      </c>
      <c r="B61" s="4" t="s">
        <v>12</v>
      </c>
      <c r="C61" s="4" t="s">
        <v>17</v>
      </c>
      <c r="D61" s="5" t="s">
        <v>336</v>
      </c>
      <c r="E61" s="5"/>
      <c r="F61" s="9" t="s">
        <v>6</v>
      </c>
      <c r="G61" s="4" t="s">
        <v>337</v>
      </c>
      <c r="H61" s="4" t="s">
        <v>338</v>
      </c>
      <c r="I61" s="4" t="s">
        <v>339</v>
      </c>
      <c r="J61" s="4" t="s">
        <v>340</v>
      </c>
      <c r="K61" s="5"/>
      <c r="L61" s="4"/>
    </row>
    <row r="62" customFormat="false" ht="35.05" hidden="false" customHeight="false" outlineLevel="0" collapsed="false">
      <c r="A62" s="5" t="n">
        <v>60</v>
      </c>
      <c r="B62" s="4" t="s">
        <v>12</v>
      </c>
      <c r="C62" s="4" t="s">
        <v>341</v>
      </c>
      <c r="D62" s="5" t="s">
        <v>336</v>
      </c>
      <c r="E62" s="5"/>
      <c r="F62" s="9" t="s">
        <v>6</v>
      </c>
      <c r="G62" s="4" t="s">
        <v>342</v>
      </c>
      <c r="H62" s="4" t="s">
        <v>343</v>
      </c>
      <c r="I62" s="4" t="s">
        <v>344</v>
      </c>
      <c r="J62" s="4" t="s">
        <v>171</v>
      </c>
      <c r="K62" s="5"/>
      <c r="L62" s="4"/>
    </row>
    <row r="63" customFormat="false" ht="35.05" hidden="false" customHeight="false" outlineLevel="0" collapsed="false">
      <c r="A63" s="5" t="n">
        <v>61</v>
      </c>
      <c r="B63" s="4" t="s">
        <v>12</v>
      </c>
      <c r="C63" s="4" t="s">
        <v>341</v>
      </c>
      <c r="D63" s="5" t="s">
        <v>336</v>
      </c>
      <c r="E63" s="5"/>
      <c r="F63" s="9" t="s">
        <v>6</v>
      </c>
      <c r="G63" s="4" t="s">
        <v>345</v>
      </c>
      <c r="H63" s="4" t="s">
        <v>346</v>
      </c>
      <c r="I63" s="4" t="s">
        <v>347</v>
      </c>
      <c r="J63" s="4" t="s">
        <v>348</v>
      </c>
      <c r="K63" s="5"/>
      <c r="L63" s="4"/>
    </row>
    <row r="64" customFormat="false" ht="35.05" hidden="false" customHeight="false" outlineLevel="0" collapsed="false">
      <c r="A64" s="5" t="n">
        <v>62</v>
      </c>
      <c r="B64" s="4" t="s">
        <v>12</v>
      </c>
      <c r="C64" s="4" t="s">
        <v>341</v>
      </c>
      <c r="D64" s="5" t="s">
        <v>81</v>
      </c>
      <c r="E64" s="5"/>
      <c r="F64" s="10" t="s">
        <v>5</v>
      </c>
      <c r="G64" s="4" t="s">
        <v>349</v>
      </c>
      <c r="H64" s="4" t="s">
        <v>350</v>
      </c>
      <c r="I64" s="4" t="s">
        <v>351</v>
      </c>
      <c r="J64" s="4" t="s">
        <v>352</v>
      </c>
      <c r="K64" s="5"/>
      <c r="L64" s="4"/>
    </row>
    <row r="65" customFormat="false" ht="35.05" hidden="false" customHeight="false" outlineLevel="0" collapsed="false">
      <c r="A65" s="5" t="n">
        <v>63</v>
      </c>
      <c r="B65" s="4" t="s">
        <v>12</v>
      </c>
      <c r="C65" s="4" t="s">
        <v>341</v>
      </c>
      <c r="D65" s="5" t="s">
        <v>81</v>
      </c>
      <c r="E65" s="5"/>
      <c r="F65" s="10" t="s">
        <v>5</v>
      </c>
      <c r="G65" s="4" t="s">
        <v>353</v>
      </c>
      <c r="H65" s="4" t="s">
        <v>354</v>
      </c>
      <c r="I65" s="4" t="s">
        <v>355</v>
      </c>
      <c r="J65" s="4" t="s">
        <v>356</v>
      </c>
      <c r="K65" s="5"/>
      <c r="L65" s="4"/>
    </row>
    <row r="66" customFormat="false" ht="35.05" hidden="false" customHeight="false" outlineLevel="0" collapsed="false">
      <c r="A66" s="5" t="n">
        <v>64</v>
      </c>
      <c r="B66" s="4" t="s">
        <v>12</v>
      </c>
      <c r="C66" s="4" t="s">
        <v>341</v>
      </c>
      <c r="D66" s="5" t="s">
        <v>132</v>
      </c>
      <c r="E66" s="5"/>
      <c r="F66" s="10" t="s">
        <v>5</v>
      </c>
      <c r="G66" s="4" t="s">
        <v>357</v>
      </c>
      <c r="H66" s="4" t="s">
        <v>358</v>
      </c>
      <c r="I66" s="4" t="s">
        <v>359</v>
      </c>
      <c r="J66" s="4" t="s">
        <v>356</v>
      </c>
      <c r="K66" s="5"/>
      <c r="L66" s="4"/>
    </row>
    <row r="67" customFormat="false" ht="35.05" hidden="false" customHeight="false" outlineLevel="0" collapsed="false">
      <c r="A67" s="5" t="n">
        <v>65</v>
      </c>
      <c r="B67" s="4" t="s">
        <v>12</v>
      </c>
      <c r="C67" s="4" t="s">
        <v>341</v>
      </c>
      <c r="D67" s="5" t="s">
        <v>183</v>
      </c>
      <c r="E67" s="5"/>
      <c r="F67" s="10" t="s">
        <v>5</v>
      </c>
      <c r="G67" s="4" t="s">
        <v>360</v>
      </c>
      <c r="H67" s="4" t="s">
        <v>361</v>
      </c>
      <c r="I67" s="4" t="s">
        <v>362</v>
      </c>
      <c r="J67" s="4" t="s">
        <v>356</v>
      </c>
      <c r="K67" s="5"/>
      <c r="L67" s="4"/>
    </row>
    <row r="68" customFormat="false" ht="35.05" hidden="false" customHeight="false" outlineLevel="0" collapsed="false">
      <c r="A68" s="5" t="n">
        <v>66</v>
      </c>
      <c r="B68" s="4" t="s">
        <v>12</v>
      </c>
      <c r="C68" s="4" t="s">
        <v>341</v>
      </c>
      <c r="D68" s="5" t="s">
        <v>183</v>
      </c>
      <c r="E68" s="5"/>
      <c r="F68" s="9" t="s">
        <v>6</v>
      </c>
      <c r="G68" s="4" t="s">
        <v>363</v>
      </c>
      <c r="H68" s="4" t="s">
        <v>364</v>
      </c>
      <c r="I68" s="4" t="s">
        <v>365</v>
      </c>
      <c r="J68" s="4" t="s">
        <v>356</v>
      </c>
      <c r="K68" s="5"/>
      <c r="L68" s="4"/>
    </row>
    <row r="69" customFormat="false" ht="35.05" hidden="false" customHeight="false" outlineLevel="0" collapsed="false">
      <c r="A69" s="5" t="n">
        <v>67</v>
      </c>
      <c r="B69" s="4" t="s">
        <v>12</v>
      </c>
      <c r="C69" s="4" t="s">
        <v>341</v>
      </c>
      <c r="D69" s="5" t="s">
        <v>366</v>
      </c>
      <c r="E69" s="5"/>
      <c r="F69" s="11" t="s">
        <v>7</v>
      </c>
      <c r="G69" s="4" t="s">
        <v>367</v>
      </c>
      <c r="H69" s="4" t="s">
        <v>368</v>
      </c>
      <c r="I69" s="4" t="s">
        <v>369</v>
      </c>
      <c r="J69" s="4" t="s">
        <v>370</v>
      </c>
      <c r="K69" s="5"/>
      <c r="L69" s="4"/>
    </row>
    <row r="70" customFormat="false" ht="23.85" hidden="false" customHeight="false" outlineLevel="0" collapsed="false">
      <c r="A70" s="5" t="n">
        <v>68</v>
      </c>
      <c r="B70" s="4" t="s">
        <v>12</v>
      </c>
      <c r="C70" s="4" t="s">
        <v>17</v>
      </c>
      <c r="D70" s="5" t="s">
        <v>201</v>
      </c>
      <c r="E70" s="5"/>
      <c r="F70" s="9" t="s">
        <v>6</v>
      </c>
      <c r="G70" s="4" t="s">
        <v>371</v>
      </c>
      <c r="H70" s="4" t="s">
        <v>372</v>
      </c>
      <c r="I70" s="4" t="s">
        <v>373</v>
      </c>
      <c r="J70" s="4" t="s">
        <v>374</v>
      </c>
      <c r="K70" s="5"/>
      <c r="L70" s="4"/>
    </row>
    <row r="71" customFormat="false" ht="15" hidden="false" customHeight="false" outlineLevel="0" collapsed="false">
      <c r="A71" s="5" t="n">
        <v>69</v>
      </c>
      <c r="B71" s="4" t="s">
        <v>12</v>
      </c>
      <c r="C71" s="4" t="s">
        <v>21</v>
      </c>
      <c r="D71" s="5" t="s">
        <v>117</v>
      </c>
      <c r="E71" s="5"/>
      <c r="F71" s="9" t="s">
        <v>6</v>
      </c>
      <c r="G71" s="4" t="s">
        <v>375</v>
      </c>
      <c r="H71" s="4" t="s">
        <v>376</v>
      </c>
      <c r="I71" s="4" t="s">
        <v>377</v>
      </c>
      <c r="J71" s="4" t="s">
        <v>374</v>
      </c>
      <c r="K71" s="5"/>
      <c r="L71" s="4"/>
    </row>
    <row r="72" customFormat="false" ht="23.85" hidden="false" customHeight="false" outlineLevel="0" collapsed="false">
      <c r="A72" s="5" t="n">
        <v>70</v>
      </c>
      <c r="B72" s="4" t="s">
        <v>12</v>
      </c>
      <c r="C72" s="4" t="s">
        <v>21</v>
      </c>
      <c r="D72" s="5" t="s">
        <v>201</v>
      </c>
      <c r="E72" s="5"/>
      <c r="F72" s="9" t="s">
        <v>6</v>
      </c>
      <c r="G72" s="4" t="s">
        <v>378</v>
      </c>
      <c r="H72" s="4" t="s">
        <v>379</v>
      </c>
      <c r="I72" s="4" t="s">
        <v>380</v>
      </c>
      <c r="J72" s="4" t="s">
        <v>374</v>
      </c>
      <c r="K72" s="5"/>
      <c r="L72" s="4"/>
    </row>
    <row r="73" customFormat="false" ht="15" hidden="false" customHeight="false" outlineLevel="0" collapsed="false">
      <c r="A73" s="5" t="n">
        <v>71</v>
      </c>
      <c r="B73" s="4" t="s">
        <v>12</v>
      </c>
      <c r="C73" s="4" t="s">
        <v>21</v>
      </c>
      <c r="D73" s="5" t="s">
        <v>138</v>
      </c>
      <c r="E73" s="5"/>
      <c r="F73" s="12" t="s">
        <v>8</v>
      </c>
      <c r="G73" s="4" t="s">
        <v>381</v>
      </c>
      <c r="H73" s="4" t="s">
        <v>382</v>
      </c>
      <c r="I73" s="4" t="s">
        <v>383</v>
      </c>
      <c r="J73" s="4" t="s">
        <v>153</v>
      </c>
      <c r="K73" s="5"/>
      <c r="L73" s="4"/>
    </row>
    <row r="74" customFormat="false" ht="57.45" hidden="false" customHeight="false" outlineLevel="0" collapsed="false">
      <c r="A74" s="5" t="n">
        <v>72</v>
      </c>
      <c r="B74" s="4" t="s">
        <v>12</v>
      </c>
      <c r="C74" s="4" t="s">
        <v>384</v>
      </c>
      <c r="D74" s="5" t="s">
        <v>385</v>
      </c>
      <c r="E74" s="5"/>
      <c r="F74" s="11" t="s">
        <v>7</v>
      </c>
      <c r="G74" s="4" t="s">
        <v>236</v>
      </c>
      <c r="H74" s="4" t="s">
        <v>386</v>
      </c>
      <c r="I74" s="4" t="s">
        <v>387</v>
      </c>
      <c r="J74" s="4" t="s">
        <v>388</v>
      </c>
      <c r="K74" s="5"/>
      <c r="L74" s="4"/>
    </row>
    <row r="75" customFormat="false" ht="23.85" hidden="false" customHeight="false" outlineLevel="0" collapsed="false">
      <c r="A75" s="5" t="n">
        <v>73</v>
      </c>
      <c r="B75" s="4" t="s">
        <v>12</v>
      </c>
      <c r="C75" s="4" t="s">
        <v>19</v>
      </c>
      <c r="D75" s="5" t="s">
        <v>93</v>
      </c>
      <c r="E75" s="5"/>
      <c r="F75" s="10" t="s">
        <v>5</v>
      </c>
      <c r="G75" s="4" t="s">
        <v>389</v>
      </c>
      <c r="H75" s="4" t="s">
        <v>390</v>
      </c>
      <c r="I75" s="4" t="s">
        <v>391</v>
      </c>
      <c r="J75" s="4" t="s">
        <v>392</v>
      </c>
      <c r="K75" s="5"/>
      <c r="L75" s="4"/>
    </row>
    <row r="76" customFormat="false" ht="23.85" hidden="false" customHeight="false" outlineLevel="0" collapsed="false">
      <c r="A76" s="5" t="n">
        <v>74</v>
      </c>
      <c r="B76" s="4" t="s">
        <v>12</v>
      </c>
      <c r="C76" s="4" t="s">
        <v>19</v>
      </c>
      <c r="D76" s="5" t="s">
        <v>117</v>
      </c>
      <c r="E76" s="5"/>
      <c r="F76" s="11" t="s">
        <v>7</v>
      </c>
      <c r="G76" s="4" t="s">
        <v>393</v>
      </c>
      <c r="H76" s="4" t="s">
        <v>394</v>
      </c>
      <c r="I76" s="4" t="s">
        <v>395</v>
      </c>
      <c r="J76" s="4" t="s">
        <v>324</v>
      </c>
      <c r="K76" s="5"/>
      <c r="L76" s="4"/>
    </row>
    <row r="77" customFormat="false" ht="23.85" hidden="false" customHeight="false" outlineLevel="0" collapsed="false">
      <c r="A77" s="5" t="n">
        <v>75</v>
      </c>
      <c r="B77" s="4" t="s">
        <v>12</v>
      </c>
      <c r="C77" s="4" t="s">
        <v>19</v>
      </c>
      <c r="D77" s="5" t="s">
        <v>132</v>
      </c>
      <c r="E77" s="5"/>
      <c r="F77" s="10" t="s">
        <v>5</v>
      </c>
      <c r="G77" s="4" t="s">
        <v>396</v>
      </c>
      <c r="H77" s="4" t="s">
        <v>397</v>
      </c>
      <c r="I77" s="4" t="s">
        <v>398</v>
      </c>
      <c r="J77" s="4" t="s">
        <v>356</v>
      </c>
      <c r="K77" s="5"/>
      <c r="L77" s="4"/>
    </row>
    <row r="78" customFormat="false" ht="23.85" hidden="false" customHeight="false" outlineLevel="0" collapsed="false">
      <c r="A78" s="5" t="n">
        <v>76</v>
      </c>
      <c r="B78" s="4" t="s">
        <v>12</v>
      </c>
      <c r="C78" s="4" t="s">
        <v>19</v>
      </c>
      <c r="D78" s="5" t="s">
        <v>132</v>
      </c>
      <c r="E78" s="5"/>
      <c r="F78" s="11" t="s">
        <v>7</v>
      </c>
      <c r="G78" s="4" t="s">
        <v>399</v>
      </c>
      <c r="H78" s="4" t="s">
        <v>400</v>
      </c>
      <c r="I78" s="4" t="s">
        <v>401</v>
      </c>
      <c r="J78" s="4" t="s">
        <v>402</v>
      </c>
      <c r="K78" s="5"/>
      <c r="L78" s="4"/>
    </row>
    <row r="79" customFormat="false" ht="23.85" hidden="false" customHeight="false" outlineLevel="0" collapsed="false">
      <c r="A79" s="5" t="n">
        <v>77</v>
      </c>
      <c r="B79" s="4" t="s">
        <v>12</v>
      </c>
      <c r="C79" s="4" t="s">
        <v>19</v>
      </c>
      <c r="D79" s="5" t="s">
        <v>183</v>
      </c>
      <c r="E79" s="5"/>
      <c r="F79" s="10" t="s">
        <v>5</v>
      </c>
      <c r="G79" s="4" t="s">
        <v>403</v>
      </c>
      <c r="H79" s="4" t="s">
        <v>404</v>
      </c>
      <c r="I79" s="4" t="s">
        <v>405</v>
      </c>
      <c r="J79" s="4" t="s">
        <v>406</v>
      </c>
      <c r="K79" s="5"/>
      <c r="L79" s="4"/>
    </row>
    <row r="80" customFormat="false" ht="23.85" hidden="false" customHeight="false" outlineLevel="0" collapsed="false">
      <c r="A80" s="5" t="n">
        <v>78</v>
      </c>
      <c r="B80" s="4" t="s">
        <v>12</v>
      </c>
      <c r="C80" s="4" t="s">
        <v>19</v>
      </c>
      <c r="D80" s="5" t="s">
        <v>407</v>
      </c>
      <c r="E80" s="5"/>
      <c r="F80" s="12" t="s">
        <v>8</v>
      </c>
      <c r="G80" s="4" t="s">
        <v>408</v>
      </c>
      <c r="H80" s="4" t="s">
        <v>409</v>
      </c>
      <c r="I80" s="4" t="s">
        <v>410</v>
      </c>
      <c r="J80" s="4" t="s">
        <v>148</v>
      </c>
      <c r="K80" s="5"/>
      <c r="L80" s="4"/>
    </row>
    <row r="81" customFormat="false" ht="23.85" hidden="false" customHeight="false" outlineLevel="0" collapsed="false">
      <c r="A81" s="5" t="n">
        <v>79</v>
      </c>
      <c r="B81" s="4" t="s">
        <v>23</v>
      </c>
      <c r="C81" s="4" t="s">
        <v>24</v>
      </c>
      <c r="D81" s="5" t="s">
        <v>336</v>
      </c>
      <c r="E81" s="5"/>
      <c r="F81" s="12" t="s">
        <v>8</v>
      </c>
      <c r="G81" s="4" t="s">
        <v>411</v>
      </c>
      <c r="H81" s="4" t="s">
        <v>412</v>
      </c>
      <c r="I81" s="4" t="s">
        <v>413</v>
      </c>
      <c r="J81" s="4" t="s">
        <v>414</v>
      </c>
      <c r="K81" s="5"/>
      <c r="L81" s="4"/>
    </row>
    <row r="82" customFormat="false" ht="15" hidden="false" customHeight="false" outlineLevel="0" collapsed="false">
      <c r="A82" s="5" t="n">
        <v>80</v>
      </c>
      <c r="B82" s="4" t="s">
        <v>23</v>
      </c>
      <c r="C82" s="4" t="s">
        <v>24</v>
      </c>
      <c r="D82" s="5" t="s">
        <v>415</v>
      </c>
      <c r="E82" s="5"/>
      <c r="F82" s="12" t="s">
        <v>8</v>
      </c>
      <c r="G82" s="4" t="s">
        <v>416</v>
      </c>
      <c r="H82" s="4" t="s">
        <v>417</v>
      </c>
      <c r="I82" s="4" t="s">
        <v>418</v>
      </c>
      <c r="J82" s="4" t="s">
        <v>153</v>
      </c>
      <c r="K82" s="5"/>
      <c r="L82" s="4"/>
    </row>
    <row r="83" customFormat="false" ht="23.85" hidden="false" customHeight="false" outlineLevel="0" collapsed="false">
      <c r="A83" s="5" t="n">
        <v>81</v>
      </c>
      <c r="B83" s="4" t="s">
        <v>23</v>
      </c>
      <c r="C83" s="4" t="s">
        <v>24</v>
      </c>
      <c r="D83" s="5" t="s">
        <v>87</v>
      </c>
      <c r="E83" s="5"/>
      <c r="F83" s="12" t="s">
        <v>8</v>
      </c>
      <c r="G83" s="4" t="s">
        <v>419</v>
      </c>
      <c r="H83" s="4" t="s">
        <v>420</v>
      </c>
      <c r="I83" s="4" t="s">
        <v>421</v>
      </c>
      <c r="J83" s="4" t="s">
        <v>148</v>
      </c>
      <c r="K83" s="5"/>
      <c r="L83" s="4"/>
    </row>
    <row r="84" customFormat="false" ht="35.05" hidden="false" customHeight="false" outlineLevel="0" collapsed="false">
      <c r="A84" s="5" t="n">
        <v>82</v>
      </c>
      <c r="B84" s="4" t="s">
        <v>23</v>
      </c>
      <c r="C84" s="4" t="s">
        <v>422</v>
      </c>
      <c r="D84" s="5" t="s">
        <v>423</v>
      </c>
      <c r="E84" s="5"/>
      <c r="F84" s="11" t="s">
        <v>7</v>
      </c>
      <c r="G84" s="4" t="s">
        <v>424</v>
      </c>
      <c r="H84" s="4" t="s">
        <v>425</v>
      </c>
      <c r="I84" s="4" t="s">
        <v>426</v>
      </c>
      <c r="J84" s="4" t="s">
        <v>427</v>
      </c>
      <c r="K84" s="5"/>
      <c r="L84" s="4"/>
    </row>
    <row r="85" customFormat="false" ht="23.85" hidden="false" customHeight="false" outlineLevel="0" collapsed="false">
      <c r="A85" s="5" t="n">
        <v>83</v>
      </c>
      <c r="B85" s="4" t="s">
        <v>23</v>
      </c>
      <c r="C85" s="4" t="s">
        <v>26</v>
      </c>
      <c r="D85" s="5" t="s">
        <v>336</v>
      </c>
      <c r="E85" s="5"/>
      <c r="F85" s="9" t="s">
        <v>6</v>
      </c>
      <c r="G85" s="4" t="s">
        <v>428</v>
      </c>
      <c r="H85" s="4" t="s">
        <v>429</v>
      </c>
      <c r="I85" s="4" t="s">
        <v>430</v>
      </c>
      <c r="J85" s="4" t="s">
        <v>431</v>
      </c>
      <c r="K85" s="5"/>
      <c r="L85" s="4"/>
    </row>
    <row r="86" customFormat="false" ht="23.85" hidden="false" customHeight="false" outlineLevel="0" collapsed="false">
      <c r="A86" s="5" t="n">
        <v>84</v>
      </c>
      <c r="B86" s="4" t="s">
        <v>23</v>
      </c>
      <c r="C86" s="4" t="s">
        <v>26</v>
      </c>
      <c r="D86" s="5" t="s">
        <v>336</v>
      </c>
      <c r="E86" s="5"/>
      <c r="F86" s="11" t="s">
        <v>7</v>
      </c>
      <c r="G86" s="4" t="s">
        <v>432</v>
      </c>
      <c r="H86" s="4" t="s">
        <v>433</v>
      </c>
      <c r="I86" s="4" t="s">
        <v>434</v>
      </c>
      <c r="J86" s="4" t="s">
        <v>435</v>
      </c>
      <c r="K86" s="5"/>
      <c r="L86" s="4"/>
    </row>
    <row r="87" customFormat="false" ht="46.25" hidden="false" customHeight="false" outlineLevel="0" collapsed="false">
      <c r="A87" s="5" t="n">
        <v>85</v>
      </c>
      <c r="B87" s="4" t="s">
        <v>23</v>
      </c>
      <c r="C87" s="4" t="s">
        <v>26</v>
      </c>
      <c r="D87" s="5" t="s">
        <v>336</v>
      </c>
      <c r="E87" s="5"/>
      <c r="F87" s="9" t="s">
        <v>6</v>
      </c>
      <c r="G87" s="4" t="s">
        <v>436</v>
      </c>
      <c r="H87" s="4" t="s">
        <v>437</v>
      </c>
      <c r="I87" s="4" t="s">
        <v>438</v>
      </c>
      <c r="J87" s="4" t="s">
        <v>439</v>
      </c>
      <c r="K87" s="5"/>
      <c r="L87" s="4"/>
    </row>
    <row r="88" customFormat="false" ht="23.85" hidden="false" customHeight="false" outlineLevel="0" collapsed="false">
      <c r="A88" s="5" t="n">
        <v>86</v>
      </c>
      <c r="B88" s="4" t="s">
        <v>23</v>
      </c>
      <c r="C88" s="4" t="s">
        <v>26</v>
      </c>
      <c r="D88" s="5" t="s">
        <v>336</v>
      </c>
      <c r="E88" s="5"/>
      <c r="F88" s="9" t="s">
        <v>6</v>
      </c>
      <c r="G88" s="4" t="s">
        <v>440</v>
      </c>
      <c r="H88" s="4" t="s">
        <v>441</v>
      </c>
      <c r="I88" s="4" t="s">
        <v>442</v>
      </c>
      <c r="J88" s="4" t="s">
        <v>439</v>
      </c>
      <c r="K88" s="5"/>
      <c r="L88" s="4"/>
    </row>
    <row r="89" customFormat="false" ht="23.85" hidden="false" customHeight="false" outlineLevel="0" collapsed="false">
      <c r="A89" s="5" t="n">
        <v>87</v>
      </c>
      <c r="B89" s="4" t="s">
        <v>23</v>
      </c>
      <c r="C89" s="4" t="s">
        <v>26</v>
      </c>
      <c r="D89" s="5" t="s">
        <v>336</v>
      </c>
      <c r="E89" s="5"/>
      <c r="F89" s="12" t="s">
        <v>8</v>
      </c>
      <c r="G89" s="4" t="s">
        <v>443</v>
      </c>
      <c r="H89" s="4" t="s">
        <v>444</v>
      </c>
      <c r="I89" s="4" t="s">
        <v>445</v>
      </c>
      <c r="J89" s="4" t="s">
        <v>439</v>
      </c>
      <c r="K89" s="5"/>
      <c r="L89" s="4"/>
    </row>
    <row r="90" customFormat="false" ht="35.05" hidden="false" customHeight="false" outlineLevel="0" collapsed="false">
      <c r="A90" s="5" t="n">
        <v>88</v>
      </c>
      <c r="B90" s="4" t="s">
        <v>23</v>
      </c>
      <c r="C90" s="4" t="s">
        <v>446</v>
      </c>
      <c r="D90" s="5" t="s">
        <v>336</v>
      </c>
      <c r="E90" s="5"/>
      <c r="F90" s="9" t="s">
        <v>6</v>
      </c>
      <c r="G90" s="4" t="s">
        <v>447</v>
      </c>
      <c r="H90" s="4" t="s">
        <v>448</v>
      </c>
      <c r="I90" s="4" t="s">
        <v>449</v>
      </c>
      <c r="J90" s="4" t="s">
        <v>171</v>
      </c>
      <c r="K90" s="5"/>
      <c r="L90" s="4"/>
    </row>
    <row r="91" customFormat="false" ht="35.05" hidden="false" customHeight="false" outlineLevel="0" collapsed="false">
      <c r="A91" s="5" t="n">
        <v>89</v>
      </c>
      <c r="B91" s="4" t="s">
        <v>23</v>
      </c>
      <c r="C91" s="4" t="s">
        <v>446</v>
      </c>
      <c r="D91" s="5" t="s">
        <v>450</v>
      </c>
      <c r="E91" s="5"/>
      <c r="F91" s="9" t="s">
        <v>6</v>
      </c>
      <c r="G91" s="4" t="s">
        <v>451</v>
      </c>
      <c r="H91" s="4" t="s">
        <v>452</v>
      </c>
      <c r="I91" s="4" t="s">
        <v>453</v>
      </c>
      <c r="J91" s="4" t="s">
        <v>454</v>
      </c>
      <c r="K91" s="5"/>
      <c r="L91" s="4"/>
    </row>
    <row r="92" customFormat="false" ht="35.05" hidden="false" customHeight="false" outlineLevel="0" collapsed="false">
      <c r="A92" s="5" t="n">
        <v>90</v>
      </c>
      <c r="B92" s="4" t="s">
        <v>23</v>
      </c>
      <c r="C92" s="4" t="s">
        <v>446</v>
      </c>
      <c r="D92" s="5" t="s">
        <v>144</v>
      </c>
      <c r="E92" s="5"/>
      <c r="F92" s="9" t="s">
        <v>6</v>
      </c>
      <c r="G92" s="4" t="s">
        <v>455</v>
      </c>
      <c r="H92" s="4" t="s">
        <v>456</v>
      </c>
      <c r="I92" s="4" t="s">
        <v>457</v>
      </c>
      <c r="J92" s="4" t="s">
        <v>458</v>
      </c>
      <c r="K92" s="5"/>
      <c r="L92" s="4"/>
    </row>
    <row r="93" customFormat="false" ht="35.05" hidden="false" customHeight="false" outlineLevel="0" collapsed="false">
      <c r="A93" s="5" t="n">
        <v>91</v>
      </c>
      <c r="B93" s="4" t="s">
        <v>23</v>
      </c>
      <c r="C93" s="4" t="s">
        <v>446</v>
      </c>
      <c r="D93" s="5" t="s">
        <v>81</v>
      </c>
      <c r="E93" s="5"/>
      <c r="F93" s="9" t="s">
        <v>6</v>
      </c>
      <c r="G93" s="4" t="s">
        <v>459</v>
      </c>
      <c r="H93" s="4" t="s">
        <v>460</v>
      </c>
      <c r="I93" s="4" t="s">
        <v>461</v>
      </c>
      <c r="J93" s="4" t="s">
        <v>462</v>
      </c>
      <c r="K93" s="5"/>
      <c r="L93" s="4"/>
    </row>
    <row r="94" customFormat="false" ht="35.05" hidden="false" customHeight="false" outlineLevel="0" collapsed="false">
      <c r="A94" s="5" t="n">
        <v>92</v>
      </c>
      <c r="B94" s="4" t="s">
        <v>23</v>
      </c>
      <c r="C94" s="4" t="s">
        <v>446</v>
      </c>
      <c r="D94" s="5" t="s">
        <v>87</v>
      </c>
      <c r="E94" s="5"/>
      <c r="F94" s="12" t="s">
        <v>8</v>
      </c>
      <c r="G94" s="4" t="s">
        <v>463</v>
      </c>
      <c r="H94" s="4" t="s">
        <v>464</v>
      </c>
      <c r="I94" s="4" t="s">
        <v>465</v>
      </c>
      <c r="J94" s="4" t="s">
        <v>466</v>
      </c>
      <c r="K94" s="5"/>
      <c r="L94" s="4"/>
    </row>
    <row r="95" customFormat="false" ht="35.05" hidden="false" customHeight="false" outlineLevel="0" collapsed="false">
      <c r="A95" s="5" t="n">
        <v>93</v>
      </c>
      <c r="B95" s="4" t="s">
        <v>23</v>
      </c>
      <c r="C95" s="4" t="s">
        <v>446</v>
      </c>
      <c r="D95" s="5" t="s">
        <v>93</v>
      </c>
      <c r="E95" s="5"/>
      <c r="F95" s="11" t="s">
        <v>7</v>
      </c>
      <c r="G95" s="4" t="s">
        <v>467</v>
      </c>
      <c r="H95" s="4" t="s">
        <v>468</v>
      </c>
      <c r="I95" s="4" t="s">
        <v>469</v>
      </c>
      <c r="J95" s="4" t="s">
        <v>470</v>
      </c>
      <c r="K95" s="5"/>
      <c r="L95" s="4"/>
    </row>
    <row r="96" customFormat="false" ht="35.05" hidden="false" customHeight="false" outlineLevel="0" collapsed="false">
      <c r="A96" s="5" t="n">
        <v>94</v>
      </c>
      <c r="B96" s="4" t="s">
        <v>23</v>
      </c>
      <c r="C96" s="4" t="s">
        <v>446</v>
      </c>
      <c r="D96" s="5" t="s">
        <v>132</v>
      </c>
      <c r="E96" s="5"/>
      <c r="F96" s="9" t="s">
        <v>6</v>
      </c>
      <c r="G96" s="4" t="s">
        <v>471</v>
      </c>
      <c r="H96" s="4" t="s">
        <v>472</v>
      </c>
      <c r="I96" s="4" t="s">
        <v>473</v>
      </c>
      <c r="J96" s="4" t="s">
        <v>474</v>
      </c>
      <c r="K96" s="5"/>
      <c r="L96" s="4"/>
    </row>
    <row r="97" customFormat="false" ht="35.05" hidden="false" customHeight="false" outlineLevel="0" collapsed="false">
      <c r="A97" s="5" t="n">
        <v>95</v>
      </c>
      <c r="B97" s="4" t="s">
        <v>23</v>
      </c>
      <c r="C97" s="4" t="s">
        <v>446</v>
      </c>
      <c r="D97" s="5" t="s">
        <v>336</v>
      </c>
      <c r="E97" s="5"/>
      <c r="F97" s="9" t="s">
        <v>6</v>
      </c>
      <c r="G97" s="4" t="s">
        <v>475</v>
      </c>
      <c r="H97" s="4" t="s">
        <v>476</v>
      </c>
      <c r="I97" s="4" t="s">
        <v>477</v>
      </c>
      <c r="J97" s="4" t="s">
        <v>478</v>
      </c>
      <c r="K97" s="5"/>
      <c r="L97" s="4"/>
    </row>
    <row r="98" customFormat="false" ht="35.05" hidden="false" customHeight="false" outlineLevel="0" collapsed="false">
      <c r="A98" s="5" t="n">
        <v>96</v>
      </c>
      <c r="B98" s="4" t="s">
        <v>23</v>
      </c>
      <c r="C98" s="4" t="s">
        <v>446</v>
      </c>
      <c r="D98" s="5" t="s">
        <v>479</v>
      </c>
      <c r="E98" s="5"/>
      <c r="F98" s="11" t="s">
        <v>7</v>
      </c>
      <c r="G98" s="4" t="s">
        <v>480</v>
      </c>
      <c r="H98" s="4" t="s">
        <v>481</v>
      </c>
      <c r="I98" s="4" t="s">
        <v>482</v>
      </c>
      <c r="J98" s="4" t="s">
        <v>483</v>
      </c>
      <c r="K98" s="5"/>
      <c r="L98" s="4"/>
    </row>
    <row r="99" customFormat="false" ht="35.05" hidden="false" customHeight="false" outlineLevel="0" collapsed="false">
      <c r="A99" s="5" t="n">
        <v>97</v>
      </c>
      <c r="B99" s="4" t="s">
        <v>23</v>
      </c>
      <c r="C99" s="4" t="s">
        <v>446</v>
      </c>
      <c r="D99" s="5" t="s">
        <v>132</v>
      </c>
      <c r="E99" s="5"/>
      <c r="F99" s="11" t="s">
        <v>7</v>
      </c>
      <c r="G99" s="4" t="s">
        <v>484</v>
      </c>
      <c r="H99" s="4" t="s">
        <v>485</v>
      </c>
      <c r="I99" s="4" t="s">
        <v>486</v>
      </c>
      <c r="J99" s="4" t="s">
        <v>483</v>
      </c>
      <c r="K99" s="5"/>
      <c r="L99" s="4"/>
    </row>
    <row r="100" customFormat="false" ht="35.05" hidden="false" customHeight="false" outlineLevel="0" collapsed="false">
      <c r="A100" s="5" t="n">
        <v>98</v>
      </c>
      <c r="B100" s="4" t="s">
        <v>23</v>
      </c>
      <c r="C100" s="4" t="s">
        <v>446</v>
      </c>
      <c r="D100" s="5" t="s">
        <v>487</v>
      </c>
      <c r="E100" s="5"/>
      <c r="F100" s="11" t="s">
        <v>7</v>
      </c>
      <c r="G100" s="4" t="s">
        <v>236</v>
      </c>
      <c r="H100" s="4" t="s">
        <v>488</v>
      </c>
      <c r="I100" s="4" t="s">
        <v>489</v>
      </c>
      <c r="J100" s="4" t="s">
        <v>239</v>
      </c>
      <c r="K100" s="5"/>
      <c r="L100" s="4"/>
    </row>
    <row r="101" customFormat="false" ht="35.05" hidden="false" customHeight="false" outlineLevel="0" collapsed="false">
      <c r="A101" s="5" t="n">
        <v>99</v>
      </c>
      <c r="B101" s="4" t="s">
        <v>23</v>
      </c>
      <c r="C101" s="4" t="s">
        <v>446</v>
      </c>
      <c r="D101" s="5" t="s">
        <v>149</v>
      </c>
      <c r="E101" s="5"/>
      <c r="F101" s="12" t="s">
        <v>8</v>
      </c>
      <c r="G101" s="4" t="s">
        <v>416</v>
      </c>
      <c r="H101" s="4" t="s">
        <v>417</v>
      </c>
      <c r="I101" s="4" t="s">
        <v>418</v>
      </c>
      <c r="J101" s="4" t="s">
        <v>454</v>
      </c>
      <c r="K101" s="5"/>
      <c r="L101" s="4"/>
    </row>
    <row r="102" customFormat="false" ht="23.85" hidden="false" customHeight="false" outlineLevel="0" collapsed="false">
      <c r="A102" s="5" t="n">
        <v>100</v>
      </c>
      <c r="B102" s="4" t="s">
        <v>23</v>
      </c>
      <c r="C102" s="4" t="s">
        <v>34</v>
      </c>
      <c r="D102" s="5" t="s">
        <v>490</v>
      </c>
      <c r="E102" s="5"/>
      <c r="F102" s="9" t="s">
        <v>6</v>
      </c>
      <c r="G102" s="4" t="s">
        <v>491</v>
      </c>
      <c r="H102" s="4" t="s">
        <v>492</v>
      </c>
      <c r="I102" s="4" t="s">
        <v>493</v>
      </c>
      <c r="J102" s="4" t="s">
        <v>494</v>
      </c>
      <c r="K102" s="5"/>
      <c r="L102" s="4"/>
    </row>
    <row r="103" customFormat="false" ht="15" hidden="false" customHeight="false" outlineLevel="0" collapsed="false">
      <c r="A103" s="5" t="n">
        <v>101</v>
      </c>
      <c r="B103" s="4" t="s">
        <v>23</v>
      </c>
      <c r="C103" s="4" t="s">
        <v>34</v>
      </c>
      <c r="D103" s="5" t="s">
        <v>490</v>
      </c>
      <c r="E103" s="5"/>
      <c r="F103" s="9" t="s">
        <v>6</v>
      </c>
      <c r="G103" s="4" t="s">
        <v>495</v>
      </c>
      <c r="H103" s="4" t="s">
        <v>496</v>
      </c>
      <c r="I103" s="4" t="s">
        <v>497</v>
      </c>
      <c r="J103" s="4" t="s">
        <v>498</v>
      </c>
      <c r="K103" s="5"/>
      <c r="L103" s="4"/>
    </row>
    <row r="104" customFormat="false" ht="23.85" hidden="false" customHeight="false" outlineLevel="0" collapsed="false">
      <c r="A104" s="5" t="n">
        <v>102</v>
      </c>
      <c r="B104" s="4" t="s">
        <v>23</v>
      </c>
      <c r="C104" s="4" t="s">
        <v>34</v>
      </c>
      <c r="D104" s="5" t="s">
        <v>490</v>
      </c>
      <c r="E104" s="5"/>
      <c r="F104" s="9" t="s">
        <v>6</v>
      </c>
      <c r="G104" s="4" t="s">
        <v>499</v>
      </c>
      <c r="H104" s="4" t="s">
        <v>500</v>
      </c>
      <c r="I104" s="4" t="s">
        <v>501</v>
      </c>
      <c r="J104" s="4" t="s">
        <v>498</v>
      </c>
      <c r="K104" s="5"/>
      <c r="L104" s="4"/>
    </row>
    <row r="105" customFormat="false" ht="23.85" hidden="false" customHeight="false" outlineLevel="0" collapsed="false">
      <c r="A105" s="5" t="n">
        <v>103</v>
      </c>
      <c r="B105" s="4" t="s">
        <v>23</v>
      </c>
      <c r="C105" s="4" t="s">
        <v>34</v>
      </c>
      <c r="D105" s="5" t="s">
        <v>490</v>
      </c>
      <c r="E105" s="5"/>
      <c r="F105" s="9" t="s">
        <v>6</v>
      </c>
      <c r="G105" s="4" t="s">
        <v>502</v>
      </c>
      <c r="H105" s="4" t="s">
        <v>503</v>
      </c>
      <c r="I105" s="4" t="s">
        <v>504</v>
      </c>
      <c r="J105" s="4" t="s">
        <v>505</v>
      </c>
      <c r="K105" s="5"/>
      <c r="L105" s="4"/>
    </row>
    <row r="106" customFormat="false" ht="23.85" hidden="false" customHeight="false" outlineLevel="0" collapsed="false">
      <c r="A106" s="5" t="n">
        <v>104</v>
      </c>
      <c r="B106" s="4" t="s">
        <v>23</v>
      </c>
      <c r="C106" s="4" t="s">
        <v>34</v>
      </c>
      <c r="D106" s="5" t="s">
        <v>490</v>
      </c>
      <c r="E106" s="5"/>
      <c r="F106" s="11" t="s">
        <v>7</v>
      </c>
      <c r="G106" s="4" t="s">
        <v>506</v>
      </c>
      <c r="H106" s="4" t="s">
        <v>507</v>
      </c>
      <c r="I106" s="4" t="s">
        <v>508</v>
      </c>
      <c r="J106" s="4" t="s">
        <v>509</v>
      </c>
      <c r="K106" s="5"/>
      <c r="L106" s="4"/>
    </row>
    <row r="107" customFormat="false" ht="23.85" hidden="false" customHeight="false" outlineLevel="0" collapsed="false">
      <c r="A107" s="5" t="n">
        <v>105</v>
      </c>
      <c r="B107" s="4" t="s">
        <v>23</v>
      </c>
      <c r="C107" s="4" t="s">
        <v>34</v>
      </c>
      <c r="D107" s="5" t="s">
        <v>490</v>
      </c>
      <c r="E107" s="5"/>
      <c r="F107" s="11" t="s">
        <v>7</v>
      </c>
      <c r="G107" s="4" t="s">
        <v>510</v>
      </c>
      <c r="H107" s="4" t="s">
        <v>511</v>
      </c>
      <c r="I107" s="4" t="s">
        <v>512</v>
      </c>
      <c r="J107" s="4" t="s">
        <v>513</v>
      </c>
      <c r="K107" s="5"/>
      <c r="L107" s="4"/>
    </row>
    <row r="108" customFormat="false" ht="35.05" hidden="false" customHeight="false" outlineLevel="0" collapsed="false">
      <c r="A108" s="5" t="n">
        <v>106</v>
      </c>
      <c r="B108" s="4" t="s">
        <v>23</v>
      </c>
      <c r="C108" s="4" t="s">
        <v>34</v>
      </c>
      <c r="D108" s="5" t="s">
        <v>490</v>
      </c>
      <c r="E108" s="5"/>
      <c r="F108" s="12" t="s">
        <v>8</v>
      </c>
      <c r="G108" s="4" t="s">
        <v>514</v>
      </c>
      <c r="H108" s="4" t="s">
        <v>515</v>
      </c>
      <c r="I108" s="4" t="s">
        <v>516</v>
      </c>
      <c r="J108" s="4" t="s">
        <v>498</v>
      </c>
      <c r="K108" s="5"/>
      <c r="L108" s="4"/>
    </row>
    <row r="109" customFormat="false" ht="23.85" hidden="false" customHeight="false" outlineLevel="0" collapsed="false">
      <c r="A109" s="5" t="n">
        <v>107</v>
      </c>
      <c r="B109" s="4" t="s">
        <v>23</v>
      </c>
      <c r="C109" s="4" t="s">
        <v>517</v>
      </c>
      <c r="D109" s="5" t="s">
        <v>336</v>
      </c>
      <c r="E109" s="5"/>
      <c r="F109" s="9" t="s">
        <v>6</v>
      </c>
      <c r="G109" s="4" t="s">
        <v>518</v>
      </c>
      <c r="H109" s="4" t="s">
        <v>519</v>
      </c>
      <c r="I109" s="4" t="s">
        <v>520</v>
      </c>
      <c r="J109" s="4" t="s">
        <v>454</v>
      </c>
      <c r="K109" s="5"/>
      <c r="L109" s="4"/>
    </row>
    <row r="110" customFormat="false" ht="23.85" hidden="false" customHeight="false" outlineLevel="0" collapsed="false">
      <c r="A110" s="5" t="n">
        <v>108</v>
      </c>
      <c r="B110" s="4" t="s">
        <v>23</v>
      </c>
      <c r="C110" s="4" t="s">
        <v>517</v>
      </c>
      <c r="D110" s="5" t="s">
        <v>93</v>
      </c>
      <c r="E110" s="5"/>
      <c r="F110" s="9" t="s">
        <v>6</v>
      </c>
      <c r="G110" s="4" t="s">
        <v>521</v>
      </c>
      <c r="H110" s="4" t="s">
        <v>522</v>
      </c>
      <c r="I110" s="4" t="s">
        <v>523</v>
      </c>
      <c r="J110" s="4" t="s">
        <v>454</v>
      </c>
      <c r="K110" s="5"/>
      <c r="L110" s="4"/>
    </row>
    <row r="111" customFormat="false" ht="23.85" hidden="false" customHeight="false" outlineLevel="0" collapsed="false">
      <c r="A111" s="5" t="n">
        <v>109</v>
      </c>
      <c r="B111" s="4" t="s">
        <v>23</v>
      </c>
      <c r="C111" s="4" t="s">
        <v>517</v>
      </c>
      <c r="D111" s="5" t="s">
        <v>162</v>
      </c>
      <c r="E111" s="5"/>
      <c r="F111" s="9" t="s">
        <v>6</v>
      </c>
      <c r="G111" s="4" t="s">
        <v>524</v>
      </c>
      <c r="H111" s="4" t="s">
        <v>525</v>
      </c>
      <c r="I111" s="4" t="s">
        <v>526</v>
      </c>
      <c r="J111" s="4" t="s">
        <v>527</v>
      </c>
      <c r="K111" s="5"/>
      <c r="L111" s="4"/>
    </row>
    <row r="112" customFormat="false" ht="23.85" hidden="false" customHeight="false" outlineLevel="0" collapsed="false">
      <c r="A112" s="5" t="n">
        <v>110</v>
      </c>
      <c r="B112" s="4" t="s">
        <v>23</v>
      </c>
      <c r="C112" s="4" t="s">
        <v>517</v>
      </c>
      <c r="D112" s="5" t="s">
        <v>87</v>
      </c>
      <c r="E112" s="5"/>
      <c r="F112" s="9" t="s">
        <v>6</v>
      </c>
      <c r="G112" s="4" t="s">
        <v>528</v>
      </c>
      <c r="H112" s="4" t="s">
        <v>529</v>
      </c>
      <c r="I112" s="4" t="s">
        <v>530</v>
      </c>
      <c r="J112" s="4" t="s">
        <v>531</v>
      </c>
      <c r="K112" s="5"/>
      <c r="L112" s="4"/>
    </row>
    <row r="113" customFormat="false" ht="23.85" hidden="false" customHeight="false" outlineLevel="0" collapsed="false">
      <c r="A113" s="5" t="n">
        <v>111</v>
      </c>
      <c r="B113" s="4" t="s">
        <v>23</v>
      </c>
      <c r="C113" s="4" t="s">
        <v>517</v>
      </c>
      <c r="D113" s="5" t="s">
        <v>117</v>
      </c>
      <c r="E113" s="5"/>
      <c r="F113" s="9" t="s">
        <v>6</v>
      </c>
      <c r="G113" s="4" t="s">
        <v>532</v>
      </c>
      <c r="H113" s="4" t="s">
        <v>533</v>
      </c>
      <c r="I113" s="4" t="s">
        <v>534</v>
      </c>
      <c r="J113" s="4" t="s">
        <v>535</v>
      </c>
      <c r="K113" s="5"/>
      <c r="L113" s="4"/>
    </row>
    <row r="114" customFormat="false" ht="23.85" hidden="false" customHeight="false" outlineLevel="0" collapsed="false">
      <c r="A114" s="5" t="n">
        <v>112</v>
      </c>
      <c r="B114" s="4" t="s">
        <v>23</v>
      </c>
      <c r="C114" s="4" t="s">
        <v>517</v>
      </c>
      <c r="D114" s="5" t="s">
        <v>144</v>
      </c>
      <c r="E114" s="5"/>
      <c r="F114" s="12" t="s">
        <v>8</v>
      </c>
      <c r="G114" s="4" t="s">
        <v>536</v>
      </c>
      <c r="H114" s="4" t="s">
        <v>537</v>
      </c>
      <c r="I114" s="4" t="s">
        <v>538</v>
      </c>
      <c r="J114" s="4" t="s">
        <v>539</v>
      </c>
      <c r="K114" s="5"/>
      <c r="L114" s="4"/>
    </row>
    <row r="115" customFormat="false" ht="23.85" hidden="false" customHeight="false" outlineLevel="0" collapsed="false">
      <c r="A115" s="5" t="n">
        <v>113</v>
      </c>
      <c r="B115" s="4" t="s">
        <v>23</v>
      </c>
      <c r="C115" s="4" t="s">
        <v>517</v>
      </c>
      <c r="D115" s="5" t="s">
        <v>107</v>
      </c>
      <c r="E115" s="5"/>
      <c r="F115" s="11" t="s">
        <v>7</v>
      </c>
      <c r="G115" s="4" t="s">
        <v>540</v>
      </c>
      <c r="H115" s="4" t="s">
        <v>541</v>
      </c>
      <c r="I115" s="4" t="s">
        <v>401</v>
      </c>
      <c r="J115" s="4" t="s">
        <v>542</v>
      </c>
      <c r="K115" s="5"/>
      <c r="L115" s="4"/>
    </row>
    <row r="116" customFormat="false" ht="23.85" hidden="false" customHeight="false" outlineLevel="0" collapsed="false">
      <c r="A116" s="5" t="n">
        <v>114</v>
      </c>
      <c r="B116" s="4" t="s">
        <v>41</v>
      </c>
      <c r="C116" s="4" t="s">
        <v>42</v>
      </c>
      <c r="D116" s="5" t="s">
        <v>144</v>
      </c>
      <c r="E116" s="5"/>
      <c r="F116" s="9" t="s">
        <v>6</v>
      </c>
      <c r="G116" s="4" t="s">
        <v>543</v>
      </c>
      <c r="H116" s="4" t="s">
        <v>544</v>
      </c>
      <c r="I116" s="4" t="s">
        <v>545</v>
      </c>
      <c r="J116" s="4" t="s">
        <v>454</v>
      </c>
      <c r="K116" s="5"/>
      <c r="L116" s="4"/>
    </row>
    <row r="117" customFormat="false" ht="23.85" hidden="false" customHeight="false" outlineLevel="0" collapsed="false">
      <c r="A117" s="5" t="n">
        <v>115</v>
      </c>
      <c r="B117" s="4" t="s">
        <v>41</v>
      </c>
      <c r="C117" s="4" t="s">
        <v>42</v>
      </c>
      <c r="D117" s="5" t="s">
        <v>144</v>
      </c>
      <c r="E117" s="5"/>
      <c r="F117" s="9" t="s">
        <v>6</v>
      </c>
      <c r="G117" s="4" t="s">
        <v>546</v>
      </c>
      <c r="H117" s="4" t="s">
        <v>547</v>
      </c>
      <c r="I117" s="4" t="s">
        <v>548</v>
      </c>
      <c r="J117" s="4" t="s">
        <v>153</v>
      </c>
      <c r="K117" s="5"/>
      <c r="L117" s="4"/>
    </row>
    <row r="118" customFormat="false" ht="23.85" hidden="false" customHeight="false" outlineLevel="0" collapsed="false">
      <c r="A118" s="5" t="n">
        <v>116</v>
      </c>
      <c r="B118" s="4" t="s">
        <v>41</v>
      </c>
      <c r="C118" s="4" t="s">
        <v>42</v>
      </c>
      <c r="D118" s="5" t="s">
        <v>81</v>
      </c>
      <c r="E118" s="5"/>
      <c r="F118" s="12" t="s">
        <v>8</v>
      </c>
      <c r="G118" s="4" t="s">
        <v>543</v>
      </c>
      <c r="H118" s="4" t="s">
        <v>549</v>
      </c>
      <c r="I118" s="4" t="s">
        <v>550</v>
      </c>
      <c r="J118" s="4" t="s">
        <v>551</v>
      </c>
      <c r="K118" s="5"/>
      <c r="L118" s="4"/>
    </row>
    <row r="119" customFormat="false" ht="23.85" hidden="false" customHeight="false" outlineLevel="0" collapsed="false">
      <c r="A119" s="5" t="n">
        <v>117</v>
      </c>
      <c r="B119" s="4" t="s">
        <v>41</v>
      </c>
      <c r="C119" s="4" t="s">
        <v>42</v>
      </c>
      <c r="D119" s="5" t="s">
        <v>552</v>
      </c>
      <c r="E119" s="5"/>
      <c r="F119" s="12" t="s">
        <v>8</v>
      </c>
      <c r="G119" s="4" t="s">
        <v>553</v>
      </c>
      <c r="H119" s="4" t="s">
        <v>554</v>
      </c>
      <c r="I119" s="4" t="s">
        <v>555</v>
      </c>
      <c r="J119" s="4" t="s">
        <v>556</v>
      </c>
      <c r="K119" s="5"/>
      <c r="L119" s="4"/>
    </row>
    <row r="120" customFormat="false" ht="23.85" hidden="false" customHeight="false" outlineLevel="0" collapsed="false">
      <c r="A120" s="5" t="n">
        <v>118</v>
      </c>
      <c r="B120" s="4" t="s">
        <v>41</v>
      </c>
      <c r="C120" s="4" t="s">
        <v>42</v>
      </c>
      <c r="D120" s="5" t="s">
        <v>557</v>
      </c>
      <c r="E120" s="5"/>
      <c r="F120" s="12" t="s">
        <v>8</v>
      </c>
      <c r="G120" s="4" t="s">
        <v>558</v>
      </c>
      <c r="H120" s="4" t="s">
        <v>559</v>
      </c>
      <c r="I120" s="4" t="s">
        <v>560</v>
      </c>
      <c r="J120" s="4" t="s">
        <v>454</v>
      </c>
      <c r="K120" s="5"/>
      <c r="L120" s="4"/>
    </row>
    <row r="121" customFormat="false" ht="35.05" hidden="false" customHeight="false" outlineLevel="0" collapsed="false">
      <c r="A121" s="5" t="n">
        <v>119</v>
      </c>
      <c r="B121" s="4" t="s">
        <v>41</v>
      </c>
      <c r="C121" s="4" t="s">
        <v>42</v>
      </c>
      <c r="D121" s="5" t="s">
        <v>561</v>
      </c>
      <c r="E121" s="5"/>
      <c r="F121" s="12" t="s">
        <v>8</v>
      </c>
      <c r="G121" s="4" t="s">
        <v>562</v>
      </c>
      <c r="H121" s="4" t="s">
        <v>563</v>
      </c>
      <c r="I121" s="4" t="s">
        <v>564</v>
      </c>
      <c r="J121" s="4" t="s">
        <v>454</v>
      </c>
      <c r="K121" s="5"/>
      <c r="L121" s="4"/>
    </row>
    <row r="122" customFormat="false" ht="23.85" hidden="false" customHeight="false" outlineLevel="0" collapsed="false">
      <c r="A122" s="5" t="n">
        <v>120</v>
      </c>
      <c r="B122" s="4" t="s">
        <v>41</v>
      </c>
      <c r="C122" s="4" t="s">
        <v>42</v>
      </c>
      <c r="D122" s="5" t="s">
        <v>266</v>
      </c>
      <c r="E122" s="5"/>
      <c r="F122" s="11" t="s">
        <v>7</v>
      </c>
      <c r="G122" s="4" t="s">
        <v>565</v>
      </c>
      <c r="H122" s="4" t="s">
        <v>566</v>
      </c>
      <c r="I122" s="4" t="s">
        <v>401</v>
      </c>
      <c r="J122" s="4" t="s">
        <v>567</v>
      </c>
      <c r="K122" s="5"/>
      <c r="L122" s="4"/>
    </row>
    <row r="123" customFormat="false" ht="23.85" hidden="false" customHeight="false" outlineLevel="0" collapsed="false">
      <c r="A123" s="5" t="n">
        <v>121</v>
      </c>
      <c r="B123" s="4" t="s">
        <v>41</v>
      </c>
      <c r="C123" s="4" t="s">
        <v>42</v>
      </c>
      <c r="D123" s="5" t="s">
        <v>149</v>
      </c>
      <c r="E123" s="5"/>
      <c r="F123" s="12" t="s">
        <v>8</v>
      </c>
      <c r="G123" s="4" t="s">
        <v>568</v>
      </c>
      <c r="H123" s="4" t="s">
        <v>569</v>
      </c>
      <c r="I123" s="4" t="s">
        <v>570</v>
      </c>
      <c r="J123" s="4" t="s">
        <v>571</v>
      </c>
      <c r="K123" s="5"/>
      <c r="L123" s="4"/>
    </row>
    <row r="124" customFormat="false" ht="23.85" hidden="false" customHeight="false" outlineLevel="0" collapsed="false">
      <c r="A124" s="5" t="n">
        <v>122</v>
      </c>
      <c r="B124" s="4" t="s">
        <v>41</v>
      </c>
      <c r="C124" s="4" t="s">
        <v>44</v>
      </c>
      <c r="D124" s="5" t="s">
        <v>144</v>
      </c>
      <c r="E124" s="5"/>
      <c r="F124" s="10" t="s">
        <v>5</v>
      </c>
      <c r="G124" s="4" t="s">
        <v>572</v>
      </c>
      <c r="H124" s="4" t="s">
        <v>573</v>
      </c>
      <c r="I124" s="4" t="s">
        <v>574</v>
      </c>
      <c r="J124" s="4" t="s">
        <v>153</v>
      </c>
      <c r="K124" s="5"/>
      <c r="L124" s="4"/>
    </row>
    <row r="125" customFormat="false" ht="15" hidden="false" customHeight="false" outlineLevel="0" collapsed="false">
      <c r="A125" s="5" t="n">
        <v>123</v>
      </c>
      <c r="B125" s="4" t="s">
        <v>41</v>
      </c>
      <c r="C125" s="4" t="s">
        <v>44</v>
      </c>
      <c r="D125" s="5" t="s">
        <v>81</v>
      </c>
      <c r="E125" s="5"/>
      <c r="F125" s="9" t="s">
        <v>6</v>
      </c>
      <c r="G125" s="4" t="s">
        <v>575</v>
      </c>
      <c r="H125" s="4" t="s">
        <v>576</v>
      </c>
      <c r="I125" s="4" t="s">
        <v>577</v>
      </c>
      <c r="J125" s="4" t="s">
        <v>578</v>
      </c>
      <c r="K125" s="5"/>
      <c r="L125" s="4"/>
    </row>
    <row r="126" customFormat="false" ht="23.85" hidden="false" customHeight="false" outlineLevel="0" collapsed="false">
      <c r="A126" s="5" t="n">
        <v>124</v>
      </c>
      <c r="B126" s="4" t="s">
        <v>41</v>
      </c>
      <c r="C126" s="4" t="s">
        <v>44</v>
      </c>
      <c r="D126" s="5" t="s">
        <v>81</v>
      </c>
      <c r="E126" s="5"/>
      <c r="F126" s="9" t="s">
        <v>6</v>
      </c>
      <c r="G126" s="4" t="s">
        <v>579</v>
      </c>
      <c r="H126" s="4" t="s">
        <v>580</v>
      </c>
      <c r="I126" s="4" t="s">
        <v>581</v>
      </c>
      <c r="J126" s="4" t="s">
        <v>582</v>
      </c>
      <c r="K126" s="5"/>
      <c r="L126" s="4"/>
    </row>
    <row r="127" customFormat="false" ht="15" hidden="false" customHeight="false" outlineLevel="0" collapsed="false">
      <c r="A127" s="5" t="n">
        <v>125</v>
      </c>
      <c r="B127" s="4" t="s">
        <v>41</v>
      </c>
      <c r="C127" s="4" t="s">
        <v>44</v>
      </c>
      <c r="D127" s="5" t="s">
        <v>87</v>
      </c>
      <c r="E127" s="5"/>
      <c r="F127" s="9" t="s">
        <v>6</v>
      </c>
      <c r="G127" s="4" t="s">
        <v>440</v>
      </c>
      <c r="H127" s="4" t="s">
        <v>583</v>
      </c>
      <c r="I127" s="4" t="s">
        <v>584</v>
      </c>
      <c r="J127" s="4" t="s">
        <v>153</v>
      </c>
      <c r="K127" s="5"/>
      <c r="L127" s="4"/>
    </row>
    <row r="128" customFormat="false" ht="15" hidden="false" customHeight="false" outlineLevel="0" collapsed="false">
      <c r="A128" s="5" t="n">
        <v>126</v>
      </c>
      <c r="B128" s="4" t="s">
        <v>41</v>
      </c>
      <c r="C128" s="4" t="s">
        <v>44</v>
      </c>
      <c r="D128" s="5" t="s">
        <v>183</v>
      </c>
      <c r="E128" s="5"/>
      <c r="F128" s="9" t="s">
        <v>6</v>
      </c>
      <c r="G128" s="4" t="s">
        <v>585</v>
      </c>
      <c r="H128" s="4" t="s">
        <v>586</v>
      </c>
      <c r="I128" s="4" t="s">
        <v>587</v>
      </c>
      <c r="J128" s="4" t="s">
        <v>153</v>
      </c>
      <c r="K128" s="5"/>
      <c r="L128" s="4"/>
    </row>
    <row r="129" customFormat="false" ht="15" hidden="false" customHeight="false" outlineLevel="0" collapsed="false">
      <c r="A129" s="5" t="n">
        <v>127</v>
      </c>
      <c r="B129" s="4" t="s">
        <v>41</v>
      </c>
      <c r="C129" s="4" t="s">
        <v>44</v>
      </c>
      <c r="D129" s="5" t="s">
        <v>183</v>
      </c>
      <c r="E129" s="5"/>
      <c r="F129" s="10" t="s">
        <v>5</v>
      </c>
      <c r="G129" s="4" t="s">
        <v>588</v>
      </c>
      <c r="H129" s="4" t="s">
        <v>589</v>
      </c>
      <c r="I129" s="4" t="s">
        <v>590</v>
      </c>
      <c r="J129" s="4" t="s">
        <v>591</v>
      </c>
      <c r="K129" s="5"/>
      <c r="L129" s="4"/>
    </row>
    <row r="130" customFormat="false" ht="23.85" hidden="false" customHeight="false" outlineLevel="0" collapsed="false">
      <c r="A130" s="5" t="n">
        <v>128</v>
      </c>
      <c r="B130" s="4" t="s">
        <v>41</v>
      </c>
      <c r="C130" s="4" t="s">
        <v>44</v>
      </c>
      <c r="D130" s="5" t="s">
        <v>183</v>
      </c>
      <c r="E130" s="5"/>
      <c r="F130" s="10" t="s">
        <v>5</v>
      </c>
      <c r="G130" s="4" t="s">
        <v>592</v>
      </c>
      <c r="H130" s="4" t="s">
        <v>593</v>
      </c>
      <c r="I130" s="4" t="s">
        <v>594</v>
      </c>
      <c r="J130" s="4" t="s">
        <v>595</v>
      </c>
      <c r="K130" s="5"/>
      <c r="L130" s="4"/>
    </row>
    <row r="131" customFormat="false" ht="79.85" hidden="false" customHeight="false" outlineLevel="0" collapsed="false">
      <c r="A131" s="5" t="n">
        <v>129</v>
      </c>
      <c r="B131" s="4" t="s">
        <v>41</v>
      </c>
      <c r="C131" s="4" t="s">
        <v>44</v>
      </c>
      <c r="D131" s="5" t="s">
        <v>596</v>
      </c>
      <c r="E131" s="5"/>
      <c r="F131" s="11" t="s">
        <v>7</v>
      </c>
      <c r="G131" s="4" t="s">
        <v>597</v>
      </c>
      <c r="H131" s="4" t="s">
        <v>598</v>
      </c>
      <c r="I131" s="4" t="s">
        <v>599</v>
      </c>
      <c r="J131" s="4" t="s">
        <v>600</v>
      </c>
      <c r="K131" s="5"/>
      <c r="L131" s="4"/>
    </row>
    <row r="132" customFormat="false" ht="23.85" hidden="false" customHeight="false" outlineLevel="0" collapsed="false">
      <c r="A132" s="5" t="n">
        <v>130</v>
      </c>
      <c r="B132" s="4" t="s">
        <v>41</v>
      </c>
      <c r="C132" s="4" t="s">
        <v>44</v>
      </c>
      <c r="D132" s="5" t="s">
        <v>138</v>
      </c>
      <c r="E132" s="5"/>
      <c r="F132" s="9" t="s">
        <v>6</v>
      </c>
      <c r="G132" s="4" t="s">
        <v>601</v>
      </c>
      <c r="H132" s="4" t="s">
        <v>602</v>
      </c>
      <c r="I132" s="4" t="s">
        <v>603</v>
      </c>
      <c r="J132" s="4" t="s">
        <v>153</v>
      </c>
      <c r="K132" s="5"/>
      <c r="L132" s="4"/>
    </row>
    <row r="133" customFormat="false" ht="23.85" hidden="false" customHeight="false" outlineLevel="0" collapsed="false">
      <c r="A133" s="5" t="n">
        <v>131</v>
      </c>
      <c r="B133" s="4" t="s">
        <v>41</v>
      </c>
      <c r="C133" s="4" t="s">
        <v>44</v>
      </c>
      <c r="D133" s="5" t="s">
        <v>215</v>
      </c>
      <c r="E133" s="5"/>
      <c r="F133" s="11" t="s">
        <v>7</v>
      </c>
      <c r="G133" s="4" t="s">
        <v>604</v>
      </c>
      <c r="H133" s="4" t="s">
        <v>605</v>
      </c>
      <c r="I133" s="4" t="s">
        <v>401</v>
      </c>
      <c r="J133" s="4" t="s">
        <v>567</v>
      </c>
      <c r="K133" s="5"/>
      <c r="L133" s="4"/>
    </row>
    <row r="134" customFormat="false" ht="15" hidden="false" customHeight="false" outlineLevel="0" collapsed="false">
      <c r="A134" s="5" t="n">
        <v>132</v>
      </c>
      <c r="B134" s="4" t="s">
        <v>41</v>
      </c>
      <c r="C134" s="4" t="s">
        <v>44</v>
      </c>
      <c r="D134" s="5" t="s">
        <v>249</v>
      </c>
      <c r="E134" s="5"/>
      <c r="F134" s="9" t="s">
        <v>6</v>
      </c>
      <c r="G134" s="4" t="s">
        <v>606</v>
      </c>
      <c r="H134" s="4" t="s">
        <v>607</v>
      </c>
      <c r="I134" s="4" t="s">
        <v>608</v>
      </c>
      <c r="J134" s="4" t="s">
        <v>153</v>
      </c>
      <c r="K134" s="5"/>
      <c r="L134" s="4"/>
    </row>
    <row r="135" customFormat="false" ht="15" hidden="false" customHeight="false" outlineLevel="0" collapsed="false">
      <c r="A135" s="5" t="n">
        <v>133</v>
      </c>
      <c r="B135" s="4" t="s">
        <v>41</v>
      </c>
      <c r="C135" s="4" t="s">
        <v>44</v>
      </c>
      <c r="D135" s="5" t="s">
        <v>248</v>
      </c>
      <c r="E135" s="5"/>
      <c r="F135" s="9" t="s">
        <v>6</v>
      </c>
      <c r="G135" s="4" t="s">
        <v>609</v>
      </c>
      <c r="H135" s="4" t="s">
        <v>610</v>
      </c>
      <c r="I135" s="4" t="s">
        <v>611</v>
      </c>
      <c r="J135" s="4" t="s">
        <v>153</v>
      </c>
      <c r="K135" s="5"/>
      <c r="L135" s="4"/>
    </row>
    <row r="136" customFormat="false" ht="15" hidden="false" customHeight="false" outlineLevel="0" collapsed="false">
      <c r="A136" s="5" t="n">
        <v>134</v>
      </c>
      <c r="B136" s="4" t="s">
        <v>41</v>
      </c>
      <c r="C136" s="4" t="s">
        <v>44</v>
      </c>
      <c r="D136" s="5" t="s">
        <v>254</v>
      </c>
      <c r="E136" s="5"/>
      <c r="F136" s="9" t="s">
        <v>6</v>
      </c>
      <c r="G136" s="4" t="s">
        <v>562</v>
      </c>
      <c r="H136" s="4" t="s">
        <v>612</v>
      </c>
      <c r="I136" s="4" t="s">
        <v>613</v>
      </c>
      <c r="J136" s="4" t="s">
        <v>153</v>
      </c>
      <c r="K136" s="5"/>
      <c r="L136" s="4"/>
    </row>
    <row r="137" customFormat="false" ht="23.85" hidden="false" customHeight="false" outlineLevel="0" collapsed="false">
      <c r="A137" s="5" t="n">
        <v>135</v>
      </c>
      <c r="B137" s="4" t="s">
        <v>41</v>
      </c>
      <c r="C137" s="4" t="s">
        <v>44</v>
      </c>
      <c r="D137" s="5" t="s">
        <v>336</v>
      </c>
      <c r="E137" s="5"/>
      <c r="F137" s="11" t="s">
        <v>7</v>
      </c>
      <c r="G137" s="4" t="s">
        <v>614</v>
      </c>
      <c r="H137" s="4" t="s">
        <v>615</v>
      </c>
      <c r="I137" s="4" t="s">
        <v>616</v>
      </c>
      <c r="J137" s="4" t="s">
        <v>153</v>
      </c>
      <c r="K137" s="5"/>
      <c r="L137" s="4"/>
    </row>
    <row r="138" customFormat="false" ht="23.85" hidden="false" customHeight="false" outlineLevel="0" collapsed="false">
      <c r="A138" s="5" t="n">
        <v>136</v>
      </c>
      <c r="B138" s="4" t="s">
        <v>46</v>
      </c>
      <c r="C138" s="4" t="s">
        <v>617</v>
      </c>
      <c r="D138" s="5" t="s">
        <v>201</v>
      </c>
      <c r="E138" s="5" t="s">
        <v>270</v>
      </c>
      <c r="F138" s="10" t="s">
        <v>5</v>
      </c>
      <c r="G138" s="4" t="s">
        <v>618</v>
      </c>
      <c r="H138" s="4" t="s">
        <v>619</v>
      </c>
      <c r="I138" s="4" t="s">
        <v>620</v>
      </c>
      <c r="J138" s="4" t="s">
        <v>621</v>
      </c>
      <c r="K138" s="5"/>
      <c r="L138" s="4"/>
    </row>
    <row r="139" customFormat="false" ht="23.85" hidden="false" customHeight="false" outlineLevel="0" collapsed="false">
      <c r="A139" s="5" t="n">
        <v>137</v>
      </c>
      <c r="B139" s="4" t="s">
        <v>46</v>
      </c>
      <c r="C139" s="4" t="s">
        <v>617</v>
      </c>
      <c r="D139" s="5" t="s">
        <v>132</v>
      </c>
      <c r="E139" s="5" t="s">
        <v>240</v>
      </c>
      <c r="F139" s="9" t="s">
        <v>6</v>
      </c>
      <c r="G139" s="4" t="s">
        <v>622</v>
      </c>
      <c r="H139" s="4" t="s">
        <v>623</v>
      </c>
      <c r="I139" s="4" t="s">
        <v>624</v>
      </c>
      <c r="J139" s="4" t="s">
        <v>625</v>
      </c>
      <c r="K139" s="5"/>
      <c r="L139" s="4"/>
    </row>
    <row r="140" customFormat="false" ht="23.85" hidden="false" customHeight="false" outlineLevel="0" collapsed="false">
      <c r="A140" s="5" t="n">
        <v>138</v>
      </c>
      <c r="B140" s="4" t="s">
        <v>46</v>
      </c>
      <c r="C140" s="4" t="s">
        <v>617</v>
      </c>
      <c r="D140" s="5" t="s">
        <v>117</v>
      </c>
      <c r="E140" s="5" t="s">
        <v>215</v>
      </c>
      <c r="F140" s="9" t="s">
        <v>6</v>
      </c>
      <c r="G140" s="4" t="s">
        <v>626</v>
      </c>
      <c r="H140" s="4" t="s">
        <v>627</v>
      </c>
      <c r="I140" s="4" t="s">
        <v>628</v>
      </c>
      <c r="J140" s="4" t="s">
        <v>629</v>
      </c>
      <c r="K140" s="5"/>
      <c r="L140" s="4"/>
    </row>
    <row r="141" customFormat="false" ht="23.85" hidden="false" customHeight="false" outlineLevel="0" collapsed="false">
      <c r="A141" s="5" t="n">
        <v>139</v>
      </c>
      <c r="B141" s="4" t="s">
        <v>46</v>
      </c>
      <c r="C141" s="4" t="s">
        <v>617</v>
      </c>
      <c r="D141" s="5" t="s">
        <v>201</v>
      </c>
      <c r="E141" s="5" t="s">
        <v>265</v>
      </c>
      <c r="F141" s="9" t="s">
        <v>6</v>
      </c>
      <c r="G141" s="4" t="s">
        <v>630</v>
      </c>
      <c r="H141" s="4" t="s">
        <v>631</v>
      </c>
      <c r="I141" s="4" t="s">
        <v>632</v>
      </c>
      <c r="J141" s="4" t="s">
        <v>633</v>
      </c>
      <c r="K141" s="5"/>
      <c r="L141" s="4"/>
    </row>
    <row r="142" customFormat="false" ht="23.85" hidden="false" customHeight="false" outlineLevel="0" collapsed="false">
      <c r="A142" s="5" t="n">
        <v>140</v>
      </c>
      <c r="B142" s="4" t="s">
        <v>46</v>
      </c>
      <c r="C142" s="4" t="s">
        <v>617</v>
      </c>
      <c r="D142" s="5" t="s">
        <v>144</v>
      </c>
      <c r="E142" s="5" t="s">
        <v>108</v>
      </c>
      <c r="F142" s="9" t="s">
        <v>6</v>
      </c>
      <c r="G142" s="4" t="s">
        <v>634</v>
      </c>
      <c r="H142" s="4" t="s">
        <v>635</v>
      </c>
      <c r="I142" s="4" t="s">
        <v>636</v>
      </c>
      <c r="J142" s="4" t="s">
        <v>153</v>
      </c>
      <c r="K142" s="5"/>
      <c r="L142" s="4"/>
    </row>
    <row r="143" customFormat="false" ht="35.05" hidden="false" customHeight="false" outlineLevel="0" collapsed="false">
      <c r="A143" s="5" t="n">
        <v>141</v>
      </c>
      <c r="B143" s="4" t="s">
        <v>46</v>
      </c>
      <c r="C143" s="4" t="s">
        <v>617</v>
      </c>
      <c r="D143" s="5" t="s">
        <v>415</v>
      </c>
      <c r="E143" s="5" t="s">
        <v>637</v>
      </c>
      <c r="F143" s="9" t="s">
        <v>6</v>
      </c>
      <c r="G143" s="4" t="s">
        <v>638</v>
      </c>
      <c r="H143" s="4" t="s">
        <v>639</v>
      </c>
      <c r="I143" s="4" t="s">
        <v>640</v>
      </c>
      <c r="J143" s="4" t="s">
        <v>153</v>
      </c>
      <c r="K143" s="5"/>
      <c r="L143" s="4"/>
    </row>
    <row r="144" customFormat="false" ht="23.85" hidden="false" customHeight="false" outlineLevel="0" collapsed="false">
      <c r="A144" s="5" t="n">
        <v>142</v>
      </c>
      <c r="B144" s="4" t="s">
        <v>46</v>
      </c>
      <c r="C144" s="4" t="s">
        <v>617</v>
      </c>
      <c r="D144" s="5" t="s">
        <v>336</v>
      </c>
      <c r="E144" s="5" t="s">
        <v>88</v>
      </c>
      <c r="F144" s="12" t="s">
        <v>8</v>
      </c>
      <c r="G144" s="4" t="s">
        <v>641</v>
      </c>
      <c r="H144" s="4" t="s">
        <v>642</v>
      </c>
      <c r="I144" s="4" t="s">
        <v>643</v>
      </c>
      <c r="J144" s="4" t="s">
        <v>153</v>
      </c>
      <c r="K144" s="5"/>
      <c r="L144" s="4"/>
    </row>
    <row r="145" customFormat="false" ht="35.05" hidden="false" customHeight="false" outlineLevel="0" collapsed="false">
      <c r="A145" s="5" t="n">
        <v>143</v>
      </c>
      <c r="B145" s="4" t="s">
        <v>46</v>
      </c>
      <c r="C145" s="4" t="s">
        <v>49</v>
      </c>
      <c r="D145" s="5" t="s">
        <v>644</v>
      </c>
      <c r="E145" s="5" t="s">
        <v>645</v>
      </c>
      <c r="F145" s="11" t="s">
        <v>7</v>
      </c>
      <c r="G145" s="4" t="s">
        <v>646</v>
      </c>
      <c r="H145" s="4" t="s">
        <v>647</v>
      </c>
      <c r="I145" s="4" t="s">
        <v>648</v>
      </c>
      <c r="J145" s="4" t="s">
        <v>239</v>
      </c>
      <c r="K145" s="5"/>
      <c r="L145" s="4"/>
    </row>
    <row r="146" customFormat="false" ht="35.05" hidden="false" customHeight="false" outlineLevel="0" collapsed="false">
      <c r="A146" s="5" t="n">
        <v>144</v>
      </c>
      <c r="B146" s="4" t="s">
        <v>46</v>
      </c>
      <c r="C146" s="4" t="s">
        <v>51</v>
      </c>
      <c r="D146" s="5" t="s">
        <v>336</v>
      </c>
      <c r="E146" s="5"/>
      <c r="F146" s="10" t="s">
        <v>5</v>
      </c>
      <c r="G146" s="4" t="s">
        <v>649</v>
      </c>
      <c r="H146" s="4" t="s">
        <v>650</v>
      </c>
      <c r="I146" s="4" t="s">
        <v>651</v>
      </c>
      <c r="J146" s="4" t="s">
        <v>652</v>
      </c>
      <c r="K146" s="5"/>
      <c r="L146" s="4"/>
    </row>
    <row r="147" customFormat="false" ht="23.85" hidden="false" customHeight="false" outlineLevel="0" collapsed="false">
      <c r="A147" s="5" t="n">
        <v>145</v>
      </c>
      <c r="B147" s="4" t="s">
        <v>46</v>
      </c>
      <c r="C147" s="4" t="s">
        <v>51</v>
      </c>
      <c r="D147" s="5" t="s">
        <v>336</v>
      </c>
      <c r="E147" s="5"/>
      <c r="F147" s="10" t="s">
        <v>5</v>
      </c>
      <c r="G147" s="4" t="s">
        <v>653</v>
      </c>
      <c r="H147" s="4" t="s">
        <v>654</v>
      </c>
      <c r="I147" s="4" t="s">
        <v>655</v>
      </c>
      <c r="J147" s="4" t="s">
        <v>656</v>
      </c>
      <c r="K147" s="5"/>
      <c r="L147" s="4"/>
    </row>
    <row r="148" customFormat="false" ht="23.85" hidden="false" customHeight="false" outlineLevel="0" collapsed="false">
      <c r="A148" s="5" t="n">
        <v>146</v>
      </c>
      <c r="B148" s="4" t="s">
        <v>46</v>
      </c>
      <c r="C148" s="4" t="s">
        <v>51</v>
      </c>
      <c r="D148" s="5" t="s">
        <v>81</v>
      </c>
      <c r="E148" s="5"/>
      <c r="F148" s="11" t="s">
        <v>7</v>
      </c>
      <c r="G148" s="4" t="s">
        <v>657</v>
      </c>
      <c r="H148" s="4" t="s">
        <v>658</v>
      </c>
      <c r="I148" s="4" t="s">
        <v>659</v>
      </c>
      <c r="J148" s="4" t="s">
        <v>660</v>
      </c>
      <c r="K148" s="5"/>
      <c r="L148" s="4"/>
    </row>
    <row r="149" customFormat="false" ht="15" hidden="false" customHeight="false" outlineLevel="0" collapsed="false">
      <c r="A149" s="5" t="n">
        <v>147</v>
      </c>
      <c r="B149" s="4" t="s">
        <v>46</v>
      </c>
      <c r="C149" s="4" t="s">
        <v>51</v>
      </c>
      <c r="D149" s="5" t="s">
        <v>336</v>
      </c>
      <c r="E149" s="5"/>
      <c r="F149" s="9" t="s">
        <v>6</v>
      </c>
      <c r="G149" s="4" t="s">
        <v>661</v>
      </c>
      <c r="H149" s="4" t="s">
        <v>662</v>
      </c>
      <c r="I149" s="4" t="s">
        <v>663</v>
      </c>
      <c r="J149" s="4" t="s">
        <v>153</v>
      </c>
      <c r="K149" s="5"/>
      <c r="L149" s="4"/>
    </row>
    <row r="150" customFormat="false" ht="23.85" hidden="false" customHeight="false" outlineLevel="0" collapsed="false">
      <c r="A150" s="5" t="n">
        <v>148</v>
      </c>
      <c r="B150" s="4" t="s">
        <v>53</v>
      </c>
      <c r="C150" s="4" t="s">
        <v>664</v>
      </c>
      <c r="D150" s="5" t="s">
        <v>336</v>
      </c>
      <c r="E150" s="5"/>
      <c r="F150" s="9" t="s">
        <v>6</v>
      </c>
      <c r="G150" s="4" t="s">
        <v>543</v>
      </c>
      <c r="H150" s="4" t="s">
        <v>665</v>
      </c>
      <c r="I150" s="4" t="s">
        <v>666</v>
      </c>
      <c r="J150" s="4" t="s">
        <v>153</v>
      </c>
      <c r="K150" s="5"/>
      <c r="L150" s="4"/>
    </row>
    <row r="151" customFormat="false" ht="15" hidden="false" customHeight="false" outlineLevel="0" collapsed="false">
      <c r="A151" s="5" t="n">
        <v>149</v>
      </c>
      <c r="B151" s="4" t="s">
        <v>53</v>
      </c>
      <c r="C151" s="4" t="s">
        <v>664</v>
      </c>
      <c r="D151" s="5" t="s">
        <v>144</v>
      </c>
      <c r="E151" s="5"/>
      <c r="F151" s="9" t="s">
        <v>6</v>
      </c>
      <c r="G151" s="4" t="s">
        <v>667</v>
      </c>
      <c r="H151" s="4" t="s">
        <v>668</v>
      </c>
      <c r="I151" s="4" t="s">
        <v>669</v>
      </c>
      <c r="J151" s="4" t="s">
        <v>153</v>
      </c>
      <c r="K151" s="5"/>
      <c r="L151" s="4"/>
    </row>
    <row r="152" customFormat="false" ht="23.85" hidden="false" customHeight="false" outlineLevel="0" collapsed="false">
      <c r="A152" s="5" t="n">
        <v>150</v>
      </c>
      <c r="B152" s="4" t="s">
        <v>53</v>
      </c>
      <c r="C152" s="4" t="s">
        <v>664</v>
      </c>
      <c r="D152" s="5" t="s">
        <v>336</v>
      </c>
      <c r="E152" s="5"/>
      <c r="F152" s="12" t="s">
        <v>8</v>
      </c>
      <c r="G152" s="4" t="s">
        <v>670</v>
      </c>
      <c r="H152" s="4" t="s">
        <v>671</v>
      </c>
      <c r="I152" s="4" t="s">
        <v>672</v>
      </c>
      <c r="J152" s="4" t="s">
        <v>153</v>
      </c>
      <c r="K152" s="5"/>
      <c r="L152" s="4"/>
    </row>
    <row r="153" customFormat="false" ht="23.85" hidden="false" customHeight="false" outlineLevel="0" collapsed="false">
      <c r="A153" s="5" t="n">
        <v>151</v>
      </c>
      <c r="B153" s="4" t="s">
        <v>53</v>
      </c>
      <c r="C153" s="4" t="s">
        <v>58</v>
      </c>
      <c r="D153" s="5" t="s">
        <v>336</v>
      </c>
      <c r="E153" s="5"/>
      <c r="F153" s="9" t="s">
        <v>6</v>
      </c>
      <c r="G153" s="4" t="s">
        <v>673</v>
      </c>
      <c r="H153" s="4" t="s">
        <v>674</v>
      </c>
      <c r="I153" s="4" t="s">
        <v>675</v>
      </c>
      <c r="J153" s="4" t="s">
        <v>454</v>
      </c>
      <c r="K153" s="5"/>
      <c r="L153" s="4"/>
    </row>
    <row r="154" customFormat="false" ht="23.85" hidden="false" customHeight="false" outlineLevel="0" collapsed="false">
      <c r="A154" s="5" t="n">
        <v>152</v>
      </c>
      <c r="B154" s="4" t="s">
        <v>53</v>
      </c>
      <c r="C154" s="4" t="s">
        <v>58</v>
      </c>
      <c r="D154" s="5" t="s">
        <v>336</v>
      </c>
      <c r="E154" s="5"/>
      <c r="F154" s="9" t="s">
        <v>6</v>
      </c>
      <c r="G154" s="4" t="s">
        <v>676</v>
      </c>
      <c r="H154" s="4" t="s">
        <v>677</v>
      </c>
      <c r="I154" s="4" t="s">
        <v>678</v>
      </c>
      <c r="J154" s="4" t="s">
        <v>556</v>
      </c>
      <c r="K154" s="5"/>
      <c r="L154" s="4"/>
    </row>
    <row r="155" customFormat="false" ht="15" hidden="false" customHeight="false" outlineLevel="0" collapsed="false">
      <c r="A155" s="5" t="n">
        <v>153</v>
      </c>
      <c r="B155" s="4" t="s">
        <v>53</v>
      </c>
      <c r="C155" s="4" t="s">
        <v>58</v>
      </c>
      <c r="D155" s="5" t="s">
        <v>87</v>
      </c>
      <c r="E155" s="5"/>
      <c r="F155" s="9" t="s">
        <v>6</v>
      </c>
      <c r="G155" s="4" t="s">
        <v>679</v>
      </c>
      <c r="H155" s="4" t="s">
        <v>680</v>
      </c>
      <c r="I155" s="4" t="s">
        <v>681</v>
      </c>
      <c r="J155" s="4" t="s">
        <v>153</v>
      </c>
      <c r="K155" s="5"/>
      <c r="L155" s="4"/>
    </row>
    <row r="156" customFormat="false" ht="23.85" hidden="false" customHeight="false" outlineLevel="0" collapsed="false">
      <c r="A156" s="5" t="n">
        <v>154</v>
      </c>
      <c r="B156" s="4" t="s">
        <v>53</v>
      </c>
      <c r="C156" s="4" t="s">
        <v>58</v>
      </c>
      <c r="D156" s="5" t="s">
        <v>87</v>
      </c>
      <c r="E156" s="5"/>
      <c r="F156" s="9" t="s">
        <v>6</v>
      </c>
      <c r="G156" s="4" t="s">
        <v>682</v>
      </c>
      <c r="H156" s="4" t="s">
        <v>683</v>
      </c>
      <c r="I156" s="4" t="s">
        <v>684</v>
      </c>
      <c r="J156" s="4" t="s">
        <v>454</v>
      </c>
      <c r="K156" s="5"/>
      <c r="L156" s="4"/>
    </row>
    <row r="157" customFormat="false" ht="15" hidden="false" customHeight="false" outlineLevel="0" collapsed="false">
      <c r="A157" s="5" t="n">
        <v>155</v>
      </c>
      <c r="B157" s="4" t="s">
        <v>53</v>
      </c>
      <c r="C157" s="4" t="s">
        <v>58</v>
      </c>
      <c r="D157" s="5" t="s">
        <v>87</v>
      </c>
      <c r="E157" s="5"/>
      <c r="F157" s="12" t="s">
        <v>8</v>
      </c>
      <c r="G157" s="4" t="s">
        <v>682</v>
      </c>
      <c r="H157" s="4" t="s">
        <v>685</v>
      </c>
      <c r="I157" s="4" t="s">
        <v>686</v>
      </c>
      <c r="J157" s="4" t="s">
        <v>153</v>
      </c>
      <c r="K157" s="5"/>
      <c r="L157" s="4"/>
    </row>
    <row r="158" customFormat="false" ht="35.05" hidden="false" customHeight="false" outlineLevel="0" collapsed="false">
      <c r="A158" s="5" t="n">
        <v>156</v>
      </c>
      <c r="B158" s="4" t="s">
        <v>53</v>
      </c>
      <c r="C158" s="4" t="s">
        <v>58</v>
      </c>
      <c r="D158" s="5" t="s">
        <v>144</v>
      </c>
      <c r="E158" s="5"/>
      <c r="F158" s="11" t="s">
        <v>7</v>
      </c>
      <c r="G158" s="4" t="s">
        <v>687</v>
      </c>
      <c r="H158" s="4" t="s">
        <v>688</v>
      </c>
      <c r="I158" s="4" t="s">
        <v>401</v>
      </c>
      <c r="J158" s="4" t="s">
        <v>567</v>
      </c>
      <c r="K158" s="5"/>
      <c r="L158" s="4"/>
    </row>
    <row r="159" customFormat="false" ht="15" hidden="false" customHeight="false" outlineLevel="0" collapsed="false">
      <c r="A159" s="5" t="n">
        <v>157</v>
      </c>
      <c r="B159" s="4" t="s">
        <v>53</v>
      </c>
      <c r="C159" s="4" t="s">
        <v>58</v>
      </c>
      <c r="D159" s="5" t="s">
        <v>144</v>
      </c>
      <c r="E159" s="5"/>
      <c r="F159" s="12" t="s">
        <v>8</v>
      </c>
      <c r="G159" s="4" t="s">
        <v>565</v>
      </c>
      <c r="H159" s="4" t="s">
        <v>689</v>
      </c>
      <c r="I159" s="4" t="s">
        <v>690</v>
      </c>
      <c r="J159" s="4" t="s">
        <v>454</v>
      </c>
      <c r="K159" s="5"/>
      <c r="L159" s="4"/>
    </row>
    <row r="160" customFormat="false" ht="15" hidden="false" customHeight="false" outlineLevel="0" collapsed="false">
      <c r="A160" s="5" t="n">
        <v>158</v>
      </c>
      <c r="B160" s="4" t="s">
        <v>53</v>
      </c>
      <c r="C160" s="4" t="s">
        <v>60</v>
      </c>
      <c r="D160" s="5" t="s">
        <v>87</v>
      </c>
      <c r="E160" s="5"/>
      <c r="F160" s="9" t="s">
        <v>6</v>
      </c>
      <c r="G160" s="4" t="s">
        <v>691</v>
      </c>
      <c r="H160" s="4" t="s">
        <v>692</v>
      </c>
      <c r="I160" s="4" t="s">
        <v>693</v>
      </c>
      <c r="J160" s="4" t="s">
        <v>694</v>
      </c>
      <c r="K160" s="5"/>
      <c r="L160" s="4"/>
    </row>
    <row r="161" customFormat="false" ht="23.85" hidden="false" customHeight="false" outlineLevel="0" collapsed="false">
      <c r="A161" s="5" t="n">
        <v>159</v>
      </c>
      <c r="B161" s="4" t="s">
        <v>53</v>
      </c>
      <c r="C161" s="4" t="s">
        <v>60</v>
      </c>
      <c r="D161" s="5" t="s">
        <v>93</v>
      </c>
      <c r="E161" s="5"/>
      <c r="F161" s="10" t="s">
        <v>5</v>
      </c>
      <c r="G161" s="4" t="s">
        <v>695</v>
      </c>
      <c r="H161" s="4" t="s">
        <v>696</v>
      </c>
      <c r="I161" s="4" t="s">
        <v>697</v>
      </c>
      <c r="J161" s="4" t="s">
        <v>406</v>
      </c>
      <c r="K161" s="5"/>
      <c r="L161" s="4"/>
    </row>
    <row r="162" customFormat="false" ht="23.85" hidden="false" customHeight="false" outlineLevel="0" collapsed="false">
      <c r="A162" s="5" t="n">
        <v>160</v>
      </c>
      <c r="B162" s="4" t="s">
        <v>53</v>
      </c>
      <c r="C162" s="4" t="s">
        <v>60</v>
      </c>
      <c r="D162" s="5" t="s">
        <v>698</v>
      </c>
      <c r="E162" s="5"/>
      <c r="F162" s="9" t="s">
        <v>6</v>
      </c>
      <c r="G162" s="4" t="s">
        <v>416</v>
      </c>
      <c r="H162" s="4" t="s">
        <v>699</v>
      </c>
      <c r="I162" s="4" t="s">
        <v>700</v>
      </c>
      <c r="J162" s="4" t="s">
        <v>153</v>
      </c>
      <c r="K162" s="5"/>
      <c r="L162" s="4"/>
    </row>
    <row r="163" customFormat="false" ht="23.85" hidden="false" customHeight="false" outlineLevel="0" collapsed="false">
      <c r="A163" s="5" t="n">
        <v>161</v>
      </c>
      <c r="B163" s="4" t="s">
        <v>53</v>
      </c>
      <c r="C163" s="4" t="s">
        <v>60</v>
      </c>
      <c r="D163" s="5" t="s">
        <v>144</v>
      </c>
      <c r="E163" s="5"/>
      <c r="F163" s="9" t="s">
        <v>6</v>
      </c>
      <c r="G163" s="4" t="s">
        <v>682</v>
      </c>
      <c r="H163" s="4" t="s">
        <v>701</v>
      </c>
      <c r="I163" s="4" t="s">
        <v>702</v>
      </c>
      <c r="J163" s="4" t="s">
        <v>153</v>
      </c>
      <c r="K163" s="5"/>
      <c r="L163" s="4"/>
    </row>
    <row r="164" customFormat="false" ht="35.05" hidden="false" customHeight="false" outlineLevel="0" collapsed="false">
      <c r="A164" s="5" t="n">
        <v>162</v>
      </c>
      <c r="B164" s="4" t="s">
        <v>53</v>
      </c>
      <c r="C164" s="4" t="s">
        <v>60</v>
      </c>
      <c r="D164" s="5" t="s">
        <v>703</v>
      </c>
      <c r="E164" s="5"/>
      <c r="F164" s="11" t="s">
        <v>7</v>
      </c>
      <c r="G164" s="4" t="s">
        <v>704</v>
      </c>
      <c r="H164" s="4" t="s">
        <v>705</v>
      </c>
      <c r="I164" s="4" t="s">
        <v>401</v>
      </c>
      <c r="J164" s="4" t="s">
        <v>414</v>
      </c>
      <c r="K164" s="5"/>
      <c r="L164" s="4"/>
    </row>
    <row r="165" customFormat="false" ht="23.85" hidden="false" customHeight="false" outlineLevel="0" collapsed="false">
      <c r="A165" s="5" t="n">
        <v>163</v>
      </c>
      <c r="B165" s="4" t="s">
        <v>53</v>
      </c>
      <c r="C165" s="4" t="s">
        <v>60</v>
      </c>
      <c r="D165" s="5" t="s">
        <v>706</v>
      </c>
      <c r="E165" s="5"/>
      <c r="F165" s="12" t="s">
        <v>8</v>
      </c>
      <c r="G165" s="4" t="s">
        <v>601</v>
      </c>
      <c r="H165" s="4" t="s">
        <v>707</v>
      </c>
      <c r="I165" s="4" t="s">
        <v>708</v>
      </c>
      <c r="J165" s="4" t="s">
        <v>200</v>
      </c>
      <c r="K165" s="5"/>
      <c r="L165" s="4"/>
    </row>
    <row r="166" customFormat="false" ht="23.85" hidden="false" customHeight="false" outlineLevel="0" collapsed="false">
      <c r="A166" s="5" t="n">
        <v>164</v>
      </c>
      <c r="B166" s="4" t="s">
        <v>53</v>
      </c>
      <c r="C166" s="4" t="s">
        <v>60</v>
      </c>
      <c r="D166" s="5" t="s">
        <v>709</v>
      </c>
      <c r="E166" s="5"/>
      <c r="F166" s="12" t="s">
        <v>8</v>
      </c>
      <c r="G166" s="4" t="s">
        <v>670</v>
      </c>
      <c r="H166" s="4" t="s">
        <v>710</v>
      </c>
      <c r="I166" s="4" t="s">
        <v>711</v>
      </c>
      <c r="J166" s="4" t="s">
        <v>153</v>
      </c>
      <c r="K166" s="5"/>
      <c r="L166" s="4"/>
    </row>
    <row r="167" customFormat="false" ht="23.85" hidden="false" customHeight="false" outlineLevel="0" collapsed="false">
      <c r="A167" s="5" t="n">
        <v>165</v>
      </c>
      <c r="B167" s="4" t="s">
        <v>53</v>
      </c>
      <c r="C167" s="4" t="s">
        <v>62</v>
      </c>
      <c r="D167" s="5" t="s">
        <v>490</v>
      </c>
      <c r="E167" s="5"/>
      <c r="F167" s="9" t="s">
        <v>6</v>
      </c>
      <c r="G167" s="4" t="s">
        <v>712</v>
      </c>
      <c r="H167" s="4" t="s">
        <v>713</v>
      </c>
      <c r="I167" s="4" t="s">
        <v>714</v>
      </c>
      <c r="J167" s="4" t="s">
        <v>498</v>
      </c>
      <c r="K167" s="5"/>
      <c r="L167" s="4"/>
    </row>
    <row r="168" customFormat="false" ht="23.85" hidden="false" customHeight="false" outlineLevel="0" collapsed="false">
      <c r="A168" s="5" t="n">
        <v>166</v>
      </c>
      <c r="B168" s="4" t="s">
        <v>53</v>
      </c>
      <c r="C168" s="4" t="s">
        <v>62</v>
      </c>
      <c r="D168" s="5" t="s">
        <v>490</v>
      </c>
      <c r="E168" s="5"/>
      <c r="F168" s="9" t="s">
        <v>6</v>
      </c>
      <c r="G168" s="4" t="s">
        <v>715</v>
      </c>
      <c r="H168" s="4" t="s">
        <v>716</v>
      </c>
      <c r="I168" s="4" t="s">
        <v>717</v>
      </c>
      <c r="J168" s="4" t="s">
        <v>718</v>
      </c>
      <c r="K168" s="5"/>
      <c r="L168" s="4"/>
    </row>
    <row r="169" customFormat="false" ht="23.85" hidden="false" customHeight="false" outlineLevel="0" collapsed="false">
      <c r="A169" s="5" t="n">
        <v>167</v>
      </c>
      <c r="B169" s="4" t="s">
        <v>53</v>
      </c>
      <c r="C169" s="4" t="s">
        <v>62</v>
      </c>
      <c r="D169" s="5" t="s">
        <v>490</v>
      </c>
      <c r="E169" s="5"/>
      <c r="F169" s="11" t="s">
        <v>7</v>
      </c>
      <c r="G169" s="4" t="s">
        <v>719</v>
      </c>
      <c r="H169" s="4" t="s">
        <v>720</v>
      </c>
      <c r="I169" s="4" t="s">
        <v>721</v>
      </c>
      <c r="J169" s="4" t="s">
        <v>722</v>
      </c>
      <c r="K169" s="5"/>
      <c r="L169" s="4"/>
    </row>
    <row r="170" customFormat="false" ht="15" hidden="false" customHeight="false" outlineLevel="0" collapsed="false">
      <c r="A170" s="5" t="n">
        <v>168</v>
      </c>
      <c r="B170" s="4" t="s">
        <v>53</v>
      </c>
      <c r="C170" s="4" t="s">
        <v>62</v>
      </c>
      <c r="D170" s="5" t="s">
        <v>490</v>
      </c>
      <c r="E170" s="5"/>
      <c r="F170" s="9" t="s">
        <v>6</v>
      </c>
      <c r="G170" s="4" t="s">
        <v>723</v>
      </c>
      <c r="H170" s="4" t="s">
        <v>724</v>
      </c>
      <c r="I170" s="4" t="s">
        <v>725</v>
      </c>
      <c r="J170" s="4" t="s">
        <v>726</v>
      </c>
      <c r="K170" s="5"/>
      <c r="L170" s="4"/>
    </row>
    <row r="171" customFormat="false" ht="23.85" hidden="false" customHeight="false" outlineLevel="0" collapsed="false">
      <c r="A171" s="5" t="n">
        <v>169</v>
      </c>
      <c r="B171" s="4" t="s">
        <v>53</v>
      </c>
      <c r="C171" s="4" t="s">
        <v>62</v>
      </c>
      <c r="D171" s="5" t="s">
        <v>490</v>
      </c>
      <c r="E171" s="5"/>
      <c r="F171" s="12" t="s">
        <v>8</v>
      </c>
      <c r="G171" s="4" t="s">
        <v>727</v>
      </c>
      <c r="H171" s="4" t="s">
        <v>728</v>
      </c>
      <c r="I171" s="4" t="s">
        <v>729</v>
      </c>
      <c r="J171" s="4" t="s">
        <v>730</v>
      </c>
      <c r="K171" s="5"/>
      <c r="L171" s="4"/>
    </row>
    <row r="172" customFormat="false" ht="35.05" hidden="false" customHeight="false" outlineLevel="0" collapsed="false">
      <c r="A172" s="5" t="n">
        <v>170</v>
      </c>
      <c r="B172" s="4" t="s">
        <v>53</v>
      </c>
      <c r="C172" s="4" t="s">
        <v>731</v>
      </c>
      <c r="D172" s="5" t="s">
        <v>336</v>
      </c>
      <c r="E172" s="5"/>
      <c r="F172" s="10" t="s">
        <v>5</v>
      </c>
      <c r="G172" s="4" t="s">
        <v>732</v>
      </c>
      <c r="H172" s="4" t="s">
        <v>733</v>
      </c>
      <c r="I172" s="4" t="s">
        <v>734</v>
      </c>
      <c r="J172" s="4" t="s">
        <v>153</v>
      </c>
      <c r="K172" s="5"/>
      <c r="L172" s="4"/>
    </row>
    <row r="173" customFormat="false" ht="35.05" hidden="false" customHeight="false" outlineLevel="0" collapsed="false">
      <c r="A173" s="5" t="n">
        <v>171</v>
      </c>
      <c r="B173" s="4" t="s">
        <v>53</v>
      </c>
      <c r="C173" s="4" t="s">
        <v>731</v>
      </c>
      <c r="D173" s="5" t="s">
        <v>144</v>
      </c>
      <c r="E173" s="5"/>
      <c r="F173" s="10" t="s">
        <v>5</v>
      </c>
      <c r="G173" s="4" t="s">
        <v>735</v>
      </c>
      <c r="H173" s="4" t="s">
        <v>736</v>
      </c>
      <c r="I173" s="4" t="s">
        <v>737</v>
      </c>
      <c r="J173" s="4" t="s">
        <v>406</v>
      </c>
      <c r="K173" s="5"/>
      <c r="L173" s="4"/>
    </row>
    <row r="174" customFormat="false" ht="35.05" hidden="false" customHeight="false" outlineLevel="0" collapsed="false">
      <c r="A174" s="5" t="n">
        <v>172</v>
      </c>
      <c r="B174" s="4" t="s">
        <v>53</v>
      </c>
      <c r="C174" s="4" t="s">
        <v>731</v>
      </c>
      <c r="D174" s="5" t="s">
        <v>144</v>
      </c>
      <c r="E174" s="5"/>
      <c r="F174" s="9" t="s">
        <v>6</v>
      </c>
      <c r="G174" s="4" t="s">
        <v>735</v>
      </c>
      <c r="H174" s="4" t="s">
        <v>738</v>
      </c>
      <c r="I174" s="4" t="s">
        <v>739</v>
      </c>
      <c r="J174" s="4" t="s">
        <v>406</v>
      </c>
      <c r="K174" s="5"/>
      <c r="L174" s="4"/>
    </row>
    <row r="175" customFormat="false" ht="35.05" hidden="false" customHeight="false" outlineLevel="0" collapsed="false">
      <c r="A175" s="5" t="n">
        <v>173</v>
      </c>
      <c r="B175" s="4" t="s">
        <v>53</v>
      </c>
      <c r="C175" s="4" t="s">
        <v>731</v>
      </c>
      <c r="D175" s="5" t="s">
        <v>144</v>
      </c>
      <c r="E175" s="5"/>
      <c r="F175" s="9" t="s">
        <v>6</v>
      </c>
      <c r="G175" s="4" t="s">
        <v>740</v>
      </c>
      <c r="H175" s="4" t="s">
        <v>741</v>
      </c>
      <c r="I175" s="4" t="s">
        <v>742</v>
      </c>
      <c r="J175" s="4" t="s">
        <v>153</v>
      </c>
      <c r="K175" s="5"/>
      <c r="L175" s="4"/>
    </row>
    <row r="176" customFormat="false" ht="35.05" hidden="false" customHeight="false" outlineLevel="0" collapsed="false">
      <c r="A176" s="5" t="n">
        <v>174</v>
      </c>
      <c r="B176" s="4" t="s">
        <v>53</v>
      </c>
      <c r="C176" s="4" t="s">
        <v>731</v>
      </c>
      <c r="D176" s="5" t="s">
        <v>709</v>
      </c>
      <c r="E176" s="5"/>
      <c r="F176" s="12" t="s">
        <v>8</v>
      </c>
      <c r="G176" s="4" t="s">
        <v>670</v>
      </c>
      <c r="H176" s="4" t="s">
        <v>743</v>
      </c>
      <c r="I176" s="4" t="s">
        <v>744</v>
      </c>
      <c r="J176" s="4" t="s">
        <v>153</v>
      </c>
      <c r="K176" s="5"/>
      <c r="L176" s="4"/>
    </row>
    <row r="177" customFormat="false" ht="35.05" hidden="false" customHeight="false" outlineLevel="0" collapsed="false">
      <c r="A177" s="5" t="n">
        <v>175</v>
      </c>
      <c r="B177" s="4" t="s">
        <v>53</v>
      </c>
      <c r="C177" s="4" t="s">
        <v>731</v>
      </c>
      <c r="D177" s="5" t="s">
        <v>745</v>
      </c>
      <c r="E177" s="5"/>
      <c r="F177" s="12" t="s">
        <v>8</v>
      </c>
      <c r="G177" s="4" t="s">
        <v>746</v>
      </c>
      <c r="H177" s="4" t="s">
        <v>747</v>
      </c>
      <c r="I177" s="4" t="s">
        <v>748</v>
      </c>
      <c r="J177" s="4" t="s">
        <v>423</v>
      </c>
      <c r="K177" s="5"/>
      <c r="L177" s="4"/>
    </row>
    <row r="178" customFormat="false" ht="35.05" hidden="false" customHeight="false" outlineLevel="0" collapsed="false">
      <c r="A178" s="5" t="n">
        <v>176</v>
      </c>
      <c r="B178" s="4" t="s">
        <v>749</v>
      </c>
      <c r="C178" s="4" t="s">
        <v>750</v>
      </c>
      <c r="D178" s="5" t="s">
        <v>751</v>
      </c>
      <c r="E178" s="5"/>
      <c r="F178" s="11" t="s">
        <v>7</v>
      </c>
      <c r="G178" s="4" t="s">
        <v>752</v>
      </c>
      <c r="H178" s="4" t="s">
        <v>753</v>
      </c>
      <c r="I178" s="4" t="s">
        <v>754</v>
      </c>
      <c r="J178" s="4" t="s">
        <v>239</v>
      </c>
      <c r="K178" s="5"/>
      <c r="L178" s="4"/>
    </row>
  </sheetData>
  <autoFilter ref="A2:L178"/>
  <mergeCells count="1">
    <mergeCell ref="A1:L1"/>
  </mergeCells>
  <conditionalFormatting sqref="K3:K178">
    <cfRule type="expression" priority="2" aboveAverage="0" equalAverage="0" bottom="0" percent="0" rank="0" text="" dxfId="7">
      <formula>$K3="Sửa"</formula>
    </cfRule>
    <cfRule type="expression" priority="3" aboveAverage="0" equalAverage="0" bottom="0" percent="0" rank="0" text="" dxfId="8">
      <formula>$K3="Không sửa"</formula>
    </cfRule>
    <cfRule type="expression" priority="4" aboveAverage="0" equalAverage="0" bottom="0" percent="0" rank="0" text="" dxfId="9">
      <formula>$K3="Hỏi lại"</formula>
    </cfRule>
  </conditionalFormatting>
  <dataValidations count="1">
    <dataValidation allowBlank="true" errorStyle="stop" operator="between" showDropDown="false" showErrorMessage="false" showInputMessage="false" sqref="K3:K178" type="list">
      <formula1>"Sửa,Không sửa,Hỏi lại"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0"/>
  </cols>
  <sheetData>
    <row r="1" customFormat="false" ht="16.15" hidden="false" customHeight="false" outlineLevel="0" collapsed="false">
      <c r="A1" s="1" t="s">
        <v>755</v>
      </c>
    </row>
    <row r="3" customFormat="false" ht="15" hidden="false" customHeight="false" outlineLevel="0" collapsed="false">
      <c r="A3" s="13" t="s">
        <v>756</v>
      </c>
      <c r="B3" s="4" t="s">
        <v>757</v>
      </c>
    </row>
    <row r="4" customFormat="false" ht="35.05" hidden="false" customHeight="false" outlineLevel="0" collapsed="false">
      <c r="A4" s="13" t="s">
        <v>758</v>
      </c>
      <c r="B4" s="4" t="s">
        <v>759</v>
      </c>
    </row>
    <row r="5" customFormat="false" ht="46.25" hidden="false" customHeight="false" outlineLevel="0" collapsed="false">
      <c r="A5" s="13" t="s">
        <v>760</v>
      </c>
      <c r="B5" s="4" t="s">
        <v>761</v>
      </c>
    </row>
    <row r="6" customFormat="false" ht="23.85" hidden="false" customHeight="false" outlineLevel="0" collapsed="false">
      <c r="A6" s="13" t="s">
        <v>762</v>
      </c>
      <c r="B6" s="4" t="s">
        <v>763</v>
      </c>
    </row>
    <row r="7" customFormat="false" ht="23.85" hidden="false" customHeight="false" outlineLevel="0" collapsed="false">
      <c r="A7" s="13" t="s">
        <v>764</v>
      </c>
      <c r="B7" s="4" t="s">
        <v>765</v>
      </c>
    </row>
    <row r="8" customFormat="false" ht="23.85" hidden="false" customHeight="false" outlineLevel="0" collapsed="false">
      <c r="A8" s="13" t="s">
        <v>766</v>
      </c>
      <c r="B8" s="4" t="s">
        <v>767</v>
      </c>
    </row>
    <row r="9" customFormat="false" ht="23.85" hidden="false" customHeight="false" outlineLevel="0" collapsed="false">
      <c r="A9" s="13" t="s">
        <v>768</v>
      </c>
      <c r="B9" s="4" t="s">
        <v>769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2026-10-01T11:00:20Z</dcterms:created>
  <dc:creator>openpyxl</dc:creator>
  <dc:description/>
  <dc:language>en-US</dc:language>
  <cp:lastModifiedBy/>
  <dcterms:modified xsi:type="dcterms:W3CDTF">2026-10-01T11:00:20Z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