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LF42-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>
      <c r="A1" s="1" t="inlineStr">
        <is>
          <t>Sample No.:</t>
        </is>
      </c>
      <c r="M1" s="2" t="inlineStr">
        <is>
          <t>Page 1 of 1</t>
        </is>
      </c>
    </row>
    <row r="2">
      <c r="A2" s="3" t="inlineStr">
        <is>
          <t>PUMP PERFORMANCE TEST — SIMULATED DATA</t>
        </is>
      </c>
    </row>
    <row r="3">
      <c r="A3" s="4" t="inlineStr">
        <is>
          <t>Model: CDLF42-4T</t>
        </is>
      </c>
      <c r="M3" s="2" t="inlineStr">
        <is>
          <t>Pressure tap pipe dia.: 0.08 m,  Gauge height: 1.5 m</t>
        </is>
      </c>
    </row>
    <row r="5">
      <c r="A5" s="5" t="inlineStr">
        <is>
          <t>No.</t>
        </is>
      </c>
      <c r="B5" s="5" t="inlineStr">
        <is>
          <t>MEASURED VALUES (SIMULATED)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CALCULATED VALUES</t>
        </is>
      </c>
      <c r="K5" s="5" t="n"/>
      <c r="L5" s="5" t="n"/>
      <c r="M5" s="5" t="n"/>
    </row>
    <row r="6" ht="30" customHeight="1">
      <c r="A6" s="5" t="n"/>
      <c r="B6" s="5" t="inlineStr">
        <is>
          <t>Outlet pressure</t>
        </is>
      </c>
      <c r="C6" s="5" t="inlineStr">
        <is>
          <t>Flow</t>
        </is>
      </c>
      <c r="D6" s="5" t="inlineStr">
        <is>
          <t>Speed</t>
        </is>
      </c>
      <c r="E6" s="5" t="inlineStr">
        <is>
          <t>Frequency</t>
        </is>
      </c>
      <c r="F6" s="5" t="inlineStr">
        <is>
          <t>Avg. voltage</t>
        </is>
      </c>
      <c r="G6" s="5" t="inlineStr">
        <is>
          <t>Avg. current</t>
        </is>
      </c>
      <c r="H6" s="5" t="inlineStr">
        <is>
          <t>Input power</t>
        </is>
      </c>
      <c r="I6" s="5" t="inlineStr">
        <is>
          <t>Power</t>
        </is>
      </c>
      <c r="J6" s="5" t="inlineStr">
        <is>
          <t>Velocity head</t>
        </is>
      </c>
      <c r="K6" s="5" t="inlineStr">
        <is>
          <t>Head</t>
        </is>
      </c>
      <c r="L6" s="5" t="inlineStr">
        <is>
          <t>Water power</t>
        </is>
      </c>
      <c r="M6" s="5" t="inlineStr">
        <is>
          <t>Overall efficiency</t>
        </is>
      </c>
    </row>
    <row r="7">
      <c r="A7" s="5" t="n"/>
      <c r="B7" s="5" t="inlineStr">
        <is>
          <t>MPa</t>
        </is>
      </c>
      <c r="C7" s="5" t="inlineStr">
        <is>
          <t>m³/h</t>
        </is>
      </c>
      <c r="D7" s="5" t="inlineStr">
        <is>
          <t>r/min</t>
        </is>
      </c>
      <c r="E7" s="5" t="inlineStr">
        <is>
          <t>Hz</t>
        </is>
      </c>
      <c r="F7" s="5" t="inlineStr">
        <is>
          <t>V</t>
        </is>
      </c>
      <c r="G7" s="5" t="inlineStr">
        <is>
          <t>A</t>
        </is>
      </c>
      <c r="H7" s="5" t="inlineStr">
        <is>
          <t>kW</t>
        </is>
      </c>
      <c r="I7" s="5" t="inlineStr">
        <is>
          <t>factor</t>
        </is>
      </c>
      <c r="J7" s="5" t="inlineStr">
        <is>
          <t>m</t>
        </is>
      </c>
      <c r="K7" s="5" t="inlineStr">
        <is>
          <t>m</t>
        </is>
      </c>
      <c r="L7" s="5" t="inlineStr">
        <is>
          <t>kW</t>
        </is>
      </c>
      <c r="M7" s="5" t="inlineStr">
        <is>
          <t>%</t>
        </is>
      </c>
    </row>
    <row r="8" ht="20" customHeight="1">
      <c r="A8" s="6" t="n">
        <v>1</v>
      </c>
      <c r="B8" s="7" t="n">
        <v>0.9163</v>
      </c>
      <c r="C8" s="8" t="n">
        <v>25</v>
      </c>
      <c r="D8" s="9" t="n">
        <v>2950.5</v>
      </c>
      <c r="E8" s="10" t="n">
        <v>50</v>
      </c>
      <c r="F8" s="9" t="n">
        <v>380</v>
      </c>
      <c r="G8" s="8" t="n">
        <v>20.717</v>
      </c>
      <c r="H8" s="10" t="n">
        <v>11.59</v>
      </c>
      <c r="I8" s="8" t="n">
        <v>0.85</v>
      </c>
      <c r="J8" s="10">
        <f>ROUND((C8/3600/(PI()*0.08^2/4))^2/(2*9.81),2)</f>
        <v/>
      </c>
      <c r="K8" s="10">
        <f>ROUND(B8*1000000/(1000*9.81)+1.5+(C8/3600/(PI()*0.08^2/4))^2/(2*9.81),2)</f>
        <v/>
      </c>
      <c r="L8" s="10">
        <f>ROUND(9.81*C8*K8/3600,2)</f>
        <v/>
      </c>
      <c r="M8" s="10">
        <f>IF(H8=0,0,ROUND(L8/H8*100,2))</f>
        <v/>
      </c>
    </row>
    <row r="9" ht="20" customHeight="1">
      <c r="A9" s="6" t="n">
        <v>2</v>
      </c>
      <c r="B9" s="7" t="n">
        <v>0.8864</v>
      </c>
      <c r="C9" s="8" t="n">
        <v>30</v>
      </c>
      <c r="D9" s="9" t="n">
        <v>2948</v>
      </c>
      <c r="E9" s="10" t="n">
        <v>50</v>
      </c>
      <c r="F9" s="9" t="n">
        <v>380</v>
      </c>
      <c r="G9" s="8" t="n">
        <v>21.54</v>
      </c>
      <c r="H9" s="10" t="n">
        <v>12.15</v>
      </c>
      <c r="I9" s="8" t="n">
        <v>0.857</v>
      </c>
      <c r="J9" s="10">
        <f>ROUND((C9/3600/(PI()*0.08^2/4))^2/(2*9.81),2)</f>
        <v/>
      </c>
      <c r="K9" s="10">
        <f>ROUND(B9*1000000/(1000*9.81)+1.5+(C9/3600/(PI()*0.08^2/4))^2/(2*9.81),2)</f>
        <v/>
      </c>
      <c r="L9" s="10">
        <f>ROUND(9.81*C9*K9/3600,2)</f>
        <v/>
      </c>
      <c r="M9" s="10">
        <f>IF(H9=0,0,ROUND(L9/H9*100,2))</f>
        <v/>
      </c>
    </row>
    <row r="10" ht="20" customHeight="1">
      <c r="A10" s="6" t="n">
        <v>3</v>
      </c>
      <c r="B10" s="7" t="n">
        <v>0.8467</v>
      </c>
      <c r="C10" s="8" t="n">
        <v>35</v>
      </c>
      <c r="D10" s="9" t="n">
        <v>2945.8</v>
      </c>
      <c r="E10" s="10" t="n">
        <v>50</v>
      </c>
      <c r="F10" s="9" t="n">
        <v>380</v>
      </c>
      <c r="G10" s="8" t="n">
        <v>22.332</v>
      </c>
      <c r="H10" s="10" t="n">
        <v>12.67</v>
      </c>
      <c r="I10" s="8" t="n">
        <v>0.862</v>
      </c>
      <c r="J10" s="10">
        <f>ROUND((C10/3600/(PI()*0.08^2/4))^2/(2*9.81),2)</f>
        <v/>
      </c>
      <c r="K10" s="10">
        <f>ROUND(B10*1000000/(1000*9.81)+1.5+(C10/3600/(PI()*0.08^2/4))^2/(2*9.81),2)</f>
        <v/>
      </c>
      <c r="L10" s="10">
        <f>ROUND(9.81*C10*K10/3600,2)</f>
        <v/>
      </c>
      <c r="M10" s="10">
        <f>IF(H10=0,0,ROUND(L10/H10*100,2))</f>
        <v/>
      </c>
    </row>
    <row r="11" ht="20" customHeight="1">
      <c r="A11" s="6" t="n">
        <v>4</v>
      </c>
      <c r="B11" s="7" t="n">
        <v>0.8069</v>
      </c>
      <c r="C11" s="8" t="n">
        <v>40</v>
      </c>
      <c r="D11" s="9" t="n">
        <v>2943.1</v>
      </c>
      <c r="E11" s="10" t="n">
        <v>50</v>
      </c>
      <c r="F11" s="9" t="n">
        <v>380</v>
      </c>
      <c r="G11" s="8" t="n">
        <v>23.263</v>
      </c>
      <c r="H11" s="10" t="n">
        <v>13.29</v>
      </c>
      <c r="I11" s="8" t="n">
        <v>0.868</v>
      </c>
      <c r="J11" s="10">
        <f>ROUND((C11/3600/(PI()*0.08^2/4))^2/(2*9.81),2)</f>
        <v/>
      </c>
      <c r="K11" s="10">
        <f>ROUND(B11*1000000/(1000*9.81)+1.5+(C11/3600/(PI()*0.08^2/4))^2/(2*9.81),2)</f>
        <v/>
      </c>
      <c r="L11" s="10">
        <f>ROUND(9.81*C11*K11/3600,2)</f>
        <v/>
      </c>
      <c r="M11" s="10">
        <f>IF(H11=0,0,ROUND(L11/H11*100,2))</f>
        <v/>
      </c>
    </row>
    <row r="12" ht="20" customHeight="1">
      <c r="A12" s="6" t="n">
        <v>5</v>
      </c>
      <c r="B12" s="7" t="n">
        <v>0.7772</v>
      </c>
      <c r="C12" s="8" t="n">
        <v>42</v>
      </c>
      <c r="D12" s="9" t="n">
        <v>2942.8</v>
      </c>
      <c r="E12" s="10" t="n">
        <v>50</v>
      </c>
      <c r="F12" s="9" t="n">
        <v>380</v>
      </c>
      <c r="G12" s="8" t="n">
        <v>23.368</v>
      </c>
      <c r="H12" s="10" t="n">
        <v>13.35</v>
      </c>
      <c r="I12" s="8" t="n">
        <v>0.868</v>
      </c>
      <c r="J12" s="10">
        <f>ROUND((C12/3600/(PI()*0.08^2/4))^2/(2*9.81),2)</f>
        <v/>
      </c>
      <c r="K12" s="10">
        <f>ROUND(B12*1000000/(1000*9.81)+1.5+(C12/3600/(PI()*0.08^2/4))^2/(2*9.81),2)</f>
        <v/>
      </c>
      <c r="L12" s="10">
        <f>ROUND(9.81*C12*K12/3600,2)</f>
        <v/>
      </c>
      <c r="M12" s="10">
        <f>IF(H12=0,0,ROUND(L12/H12*100,2))</f>
        <v/>
      </c>
    </row>
    <row r="13" ht="20" customHeight="1">
      <c r="A13" s="6" t="n">
        <v>6</v>
      </c>
      <c r="B13" s="7" t="n">
        <v>0.7474</v>
      </c>
      <c r="C13" s="8" t="n">
        <v>45</v>
      </c>
      <c r="D13" s="9" t="n">
        <v>2941.3</v>
      </c>
      <c r="E13" s="10" t="n">
        <v>50</v>
      </c>
      <c r="F13" s="9" t="n">
        <v>380</v>
      </c>
      <c r="G13" s="8" t="n">
        <v>23.915</v>
      </c>
      <c r="H13" s="10" t="n">
        <v>13.71</v>
      </c>
      <c r="I13" s="8" t="n">
        <v>0.871</v>
      </c>
      <c r="J13" s="10">
        <f>ROUND((C13/3600/(PI()*0.08^2/4))^2/(2*9.81),2)</f>
        <v/>
      </c>
      <c r="K13" s="10">
        <f>ROUND(B13*1000000/(1000*9.81)+1.5+(C13/3600/(PI()*0.08^2/4))^2/(2*9.81),2)</f>
        <v/>
      </c>
      <c r="L13" s="10">
        <f>ROUND(9.81*C13*K13/3600,2)</f>
        <v/>
      </c>
      <c r="M13" s="10">
        <f>IF(H13=0,0,ROUND(L13/H13*100,2))</f>
        <v/>
      </c>
    </row>
    <row r="14" ht="20" customHeight="1">
      <c r="A14" s="6" t="n">
        <v>7</v>
      </c>
      <c r="B14" s="7" t="n">
        <v>0.678</v>
      </c>
      <c r="C14" s="8" t="n">
        <v>50</v>
      </c>
      <c r="D14" s="9" t="n">
        <v>2939.9</v>
      </c>
      <c r="E14" s="10" t="n">
        <v>50</v>
      </c>
      <c r="F14" s="9" t="n">
        <v>380</v>
      </c>
      <c r="G14" s="8" t="n">
        <v>24.435</v>
      </c>
      <c r="H14" s="10" t="n">
        <v>14.04</v>
      </c>
      <c r="I14" s="8" t="n">
        <v>0.873</v>
      </c>
      <c r="J14" s="10">
        <f>ROUND((C14/3600/(PI()*0.08^2/4))^2/(2*9.81),2)</f>
        <v/>
      </c>
      <c r="K14" s="10">
        <f>ROUND(B14*1000000/(1000*9.81)+1.5+(C14/3600/(PI()*0.08^2/4))^2/(2*9.81),2)</f>
        <v/>
      </c>
      <c r="L14" s="10">
        <f>ROUND(9.81*C14*K14/3600,2)</f>
        <v/>
      </c>
      <c r="M14" s="10">
        <f>IF(H14=0,0,ROUND(L14/H14*100,2))</f>
        <v/>
      </c>
    </row>
    <row r="15" ht="20" customHeight="1">
      <c r="A15" s="6" t="n">
        <v>8</v>
      </c>
      <c r="B15" s="7" t="n">
        <v>0.5889</v>
      </c>
      <c r="C15" s="8" t="n">
        <v>55</v>
      </c>
      <c r="D15" s="9" t="n">
        <v>2940</v>
      </c>
      <c r="E15" s="10" t="n">
        <v>50</v>
      </c>
      <c r="F15" s="9" t="n">
        <v>380</v>
      </c>
      <c r="G15" s="8" t="n">
        <v>24.383</v>
      </c>
      <c r="H15" s="10" t="n">
        <v>14.01</v>
      </c>
      <c r="I15" s="8" t="n">
        <v>0.873</v>
      </c>
      <c r="J15" s="10">
        <f>ROUND((C15/3600/(PI()*0.08^2/4))^2/(2*9.81),2)</f>
        <v/>
      </c>
      <c r="K15" s="10">
        <f>ROUND(B15*1000000/(1000*9.81)+1.5+(C15/3600/(PI()*0.08^2/4))^2/(2*9.81),2)</f>
        <v/>
      </c>
      <c r="L15" s="10">
        <f>ROUND(9.81*C15*K15/3600,2)</f>
        <v/>
      </c>
      <c r="M15" s="10">
        <f>IF(H15=0,0,ROUND(L15/H15*100,2))</f>
        <v/>
      </c>
    </row>
    <row r="16" ht="20" customHeight="1">
      <c r="A16" s="6" t="n">
        <v>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0" customHeight="1">
      <c r="A17" s="6" t="n">
        <v>10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0" customHeight="1">
      <c r="A18" s="6" t="n">
        <v>11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2" customHeight="1">
      <c r="A19" s="6" t="inlineStr">
        <is>
          <t>Remarks</t>
        </is>
      </c>
      <c r="B19" s="11">
        <f>"Rated flow (Qsp): 42 m³/h;  Rated head (Hsp): 81 m;  Head at rated flow: "&amp;TEXT(K12,"0.00")&amp;" m;  Rated motor power: 15 kW (20 HP), 3~ 380 V, 50 Hz"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 ht="22" customHeight="1">
      <c r="A20" s="12" t="n"/>
      <c r="B20" s="11">
        <f>"Shaft power P2max (0.7~1.3 Qsp): 12.89 kW;   Overall efficiency at Qsp: "&amp;TEXT(M12,"0.00")&amp;" %;   Shaft power P2 (Qsp): 12.25 kW"</f>
        <v/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 ht="30" customHeight="1">
      <c r="A21" s="12" t="n"/>
      <c r="B21" s="11" t="inlineStr">
        <is>
          <t>SIMULATED DATA FOR INTERNAL CHECK — NOT AN ACTUAL TEST RECORD. Q–H from catalogue (50 Hz); pump/motor efficiency, power factor, speed are modelled values.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3">
      <c r="A23" s="1" t="inlineStr">
        <is>
          <t>Tested by:</t>
        </is>
      </c>
      <c r="F23" s="1" t="inlineStr">
        <is>
          <t>Checked by:</t>
        </is>
      </c>
      <c r="J23" s="1" t="inlineStr">
        <is>
          <t>Date:</t>
        </is>
      </c>
    </row>
  </sheetData>
  <mergeCells count="7">
    <mergeCell ref="B19:M19"/>
    <mergeCell ref="B20:M20"/>
    <mergeCell ref="B21:M21"/>
    <mergeCell ref="A19:A21"/>
    <mergeCell ref="B5:I5"/>
    <mergeCell ref="A5:A7"/>
    <mergeCell ref="J5:M5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2026-10-12T07:15:00Z</dcterms:created>
  <dcterms:modified xmlns:dcterms="http://purl.org/dc/terms/" xmlns:xsi="http://www.w3.org/2001/XMLSchema-instance" xsi:type="dcterms:W3CDTF">2026-10-12T07:15:00Z</dcterms:modified>
</cp:coreProperties>
</file>