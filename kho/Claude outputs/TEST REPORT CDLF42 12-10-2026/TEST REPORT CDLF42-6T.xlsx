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LF42-6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selection activeCell="A1" sqref="A1"/>
    </sheetView>
  </sheetViews>
  <sheetFormatPr baseColWidth="8" defaultRowHeight="15"/>
  <cols>
    <col width="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>
      <c r="A1" s="1" t="inlineStr">
        <is>
          <t>Sample No.: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Page 1 of 1</t>
        </is>
      </c>
    </row>
    <row r="2">
      <c r="A2" s="3" t="inlineStr">
        <is>
          <t>PUMP PERFORMANCE TEST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" t="inlineStr">
        <is>
          <t>Model: CDLF42-6T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2" t="inlineStr">
        <is>
          <t>Pressure tap pipe dia.: ____ m,  Gauge height: ____ m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5" t="inlineStr">
        <is>
          <t>No.</t>
        </is>
      </c>
      <c r="B5" s="5" t="inlineStr">
        <is>
          <t>MEASURED VALUES</t>
        </is>
      </c>
      <c r="C5" s="5" t="n"/>
      <c r="D5" s="5" t="n"/>
      <c r="E5" s="5" t="n"/>
      <c r="F5" s="5" t="n"/>
      <c r="G5" s="5" t="n"/>
      <c r="H5" s="5" t="n"/>
      <c r="I5" s="5" t="n"/>
      <c r="J5" s="5" t="inlineStr">
        <is>
          <t>CALCULATED VALUES</t>
        </is>
      </c>
      <c r="K5" s="5" t="n"/>
      <c r="L5" s="5" t="n"/>
      <c r="M5" s="5" t="n"/>
    </row>
    <row r="6" ht="30" customHeight="1">
      <c r="A6" s="5" t="n"/>
      <c r="B6" s="5" t="inlineStr">
        <is>
          <t>Outlet pressure</t>
        </is>
      </c>
      <c r="C6" s="5" t="inlineStr">
        <is>
          <t>Flow</t>
        </is>
      </c>
      <c r="D6" s="5" t="inlineStr">
        <is>
          <t>Speed</t>
        </is>
      </c>
      <c r="E6" s="5" t="inlineStr">
        <is>
          <t>Frequency</t>
        </is>
      </c>
      <c r="F6" s="5" t="inlineStr">
        <is>
          <t>Avg. voltage</t>
        </is>
      </c>
      <c r="G6" s="5" t="inlineStr">
        <is>
          <t>Avg. current</t>
        </is>
      </c>
      <c r="H6" s="5" t="inlineStr">
        <is>
          <t>Input power</t>
        </is>
      </c>
      <c r="I6" s="5" t="inlineStr">
        <is>
          <t>Power</t>
        </is>
      </c>
      <c r="J6" s="5" t="inlineStr">
        <is>
          <t>Velocity head</t>
        </is>
      </c>
      <c r="K6" s="5" t="inlineStr">
        <is>
          <t>Head</t>
        </is>
      </c>
      <c r="L6" s="5" t="inlineStr">
        <is>
          <t>Water power</t>
        </is>
      </c>
      <c r="M6" s="5" t="inlineStr">
        <is>
          <t>Overall efficiency</t>
        </is>
      </c>
    </row>
    <row r="7">
      <c r="A7" s="5" t="n"/>
      <c r="B7" s="5" t="inlineStr">
        <is>
          <t>MPa</t>
        </is>
      </c>
      <c r="C7" s="5" t="inlineStr">
        <is>
          <t>m³/h</t>
        </is>
      </c>
      <c r="D7" s="5" t="inlineStr">
        <is>
          <t>r/min</t>
        </is>
      </c>
      <c r="E7" s="5" t="inlineStr">
        <is>
          <t>Hz</t>
        </is>
      </c>
      <c r="F7" s="5" t="inlineStr">
        <is>
          <t>V</t>
        </is>
      </c>
      <c r="G7" s="5" t="inlineStr">
        <is>
          <t>A</t>
        </is>
      </c>
      <c r="H7" s="5" t="inlineStr">
        <is>
          <t>kW</t>
        </is>
      </c>
      <c r="I7" s="5" t="inlineStr">
        <is>
          <t>factor</t>
        </is>
      </c>
      <c r="J7" s="5" t="inlineStr">
        <is>
          <t>m</t>
        </is>
      </c>
      <c r="K7" s="5" t="inlineStr">
        <is>
          <t>m</t>
        </is>
      </c>
      <c r="L7" s="5" t="inlineStr">
        <is>
          <t>kW</t>
        </is>
      </c>
      <c r="M7" s="5" t="inlineStr">
        <is>
          <t>%</t>
        </is>
      </c>
    </row>
    <row r="8" ht="20" customHeight="1">
      <c r="A8" s="6" t="n">
        <v>1</v>
      </c>
      <c r="B8" s="6" t="n"/>
      <c r="C8" s="7" t="n">
        <v>25</v>
      </c>
      <c r="D8" s="6" t="n"/>
      <c r="E8" s="6" t="n">
        <v>50</v>
      </c>
      <c r="F8" s="6" t="n"/>
      <c r="G8" s="6" t="n"/>
      <c r="H8" s="6" t="n"/>
      <c r="I8" s="6" t="n"/>
      <c r="J8" s="6" t="n"/>
      <c r="K8" s="7" t="n">
        <v>143</v>
      </c>
      <c r="L8" s="8">
        <f>ROUND(C8*K8*9.81/3600,2)</f>
        <v/>
      </c>
      <c r="M8" s="6" t="n"/>
    </row>
    <row r="9" ht="20" customHeight="1">
      <c r="A9" s="6" t="n">
        <v>2</v>
      </c>
      <c r="B9" s="6" t="n"/>
      <c r="C9" s="7" t="n">
        <v>30</v>
      </c>
      <c r="D9" s="6" t="n"/>
      <c r="E9" s="6" t="n">
        <v>50</v>
      </c>
      <c r="F9" s="6" t="n"/>
      <c r="G9" s="6" t="n"/>
      <c r="H9" s="6" t="n"/>
      <c r="I9" s="6" t="n"/>
      <c r="J9" s="6" t="n"/>
      <c r="K9" s="7" t="n">
        <v>138</v>
      </c>
      <c r="L9" s="8">
        <f>ROUND(C9*K9*9.81/3600,2)</f>
        <v/>
      </c>
      <c r="M9" s="6" t="n"/>
    </row>
    <row r="10" ht="20" customHeight="1">
      <c r="A10" s="6" t="n">
        <v>3</v>
      </c>
      <c r="B10" s="6" t="n"/>
      <c r="C10" s="7" t="n">
        <v>35</v>
      </c>
      <c r="D10" s="6" t="n"/>
      <c r="E10" s="6" t="n">
        <v>50</v>
      </c>
      <c r="F10" s="6" t="n"/>
      <c r="G10" s="6" t="n"/>
      <c r="H10" s="6" t="n"/>
      <c r="I10" s="6" t="n"/>
      <c r="J10" s="6" t="n"/>
      <c r="K10" s="7" t="n">
        <v>132</v>
      </c>
      <c r="L10" s="8">
        <f>ROUND(C10*K10*9.81/3600,2)</f>
        <v/>
      </c>
      <c r="M10" s="6" t="n"/>
    </row>
    <row r="11" ht="20" customHeight="1">
      <c r="A11" s="6" t="n">
        <v>4</v>
      </c>
      <c r="B11" s="6" t="n"/>
      <c r="C11" s="7" t="n">
        <v>40</v>
      </c>
      <c r="D11" s="6" t="n"/>
      <c r="E11" s="6" t="n">
        <v>50</v>
      </c>
      <c r="F11" s="6" t="n"/>
      <c r="G11" s="6" t="n"/>
      <c r="H11" s="6" t="n"/>
      <c r="I11" s="6" t="n"/>
      <c r="J11" s="6" t="n"/>
      <c r="K11" s="7" t="n">
        <v>125</v>
      </c>
      <c r="L11" s="8">
        <f>ROUND(C11*K11*9.81/3600,2)</f>
        <v/>
      </c>
      <c r="M11" s="6" t="n"/>
    </row>
    <row r="12" ht="20" customHeight="1">
      <c r="A12" s="6" t="n">
        <v>5</v>
      </c>
      <c r="B12" s="6" t="n"/>
      <c r="C12" s="7" t="n">
        <v>42</v>
      </c>
      <c r="D12" s="6" t="n"/>
      <c r="E12" s="6" t="n">
        <v>50</v>
      </c>
      <c r="F12" s="6" t="n"/>
      <c r="G12" s="6" t="n"/>
      <c r="H12" s="6" t="n"/>
      <c r="I12" s="6" t="n"/>
      <c r="J12" s="6" t="n"/>
      <c r="K12" s="7" t="n">
        <v>122</v>
      </c>
      <c r="L12" s="8">
        <f>ROUND(C12*K12*9.81/3600,2)</f>
        <v/>
      </c>
      <c r="M12" s="6" t="n"/>
    </row>
    <row r="13" ht="20" customHeight="1">
      <c r="A13" s="6" t="n">
        <v>6</v>
      </c>
      <c r="B13" s="6" t="n"/>
      <c r="C13" s="7" t="n">
        <v>45</v>
      </c>
      <c r="D13" s="6" t="n"/>
      <c r="E13" s="6" t="n">
        <v>50</v>
      </c>
      <c r="F13" s="6" t="n"/>
      <c r="G13" s="6" t="n"/>
      <c r="H13" s="6" t="n"/>
      <c r="I13" s="6" t="n"/>
      <c r="J13" s="6" t="n"/>
      <c r="K13" s="7" t="n">
        <v>116</v>
      </c>
      <c r="L13" s="8">
        <f>ROUND(C13*K13*9.81/3600,2)</f>
        <v/>
      </c>
      <c r="M13" s="6" t="n"/>
    </row>
    <row r="14" ht="20" customHeight="1">
      <c r="A14" s="6" t="n">
        <v>7</v>
      </c>
      <c r="B14" s="6" t="n"/>
      <c r="C14" s="7" t="n">
        <v>50</v>
      </c>
      <c r="D14" s="6" t="n"/>
      <c r="E14" s="6" t="n">
        <v>50</v>
      </c>
      <c r="F14" s="6" t="n"/>
      <c r="G14" s="6" t="n"/>
      <c r="H14" s="6" t="n"/>
      <c r="I14" s="6" t="n"/>
      <c r="J14" s="6" t="n"/>
      <c r="K14" s="7" t="n">
        <v>106</v>
      </c>
      <c r="L14" s="8">
        <f>ROUND(C14*K14*9.81/3600,2)</f>
        <v/>
      </c>
      <c r="M14" s="6" t="n"/>
    </row>
    <row r="15" ht="20" customHeight="1">
      <c r="A15" s="6" t="n">
        <v>8</v>
      </c>
      <c r="B15" s="6" t="n"/>
      <c r="C15" s="7" t="n">
        <v>55</v>
      </c>
      <c r="D15" s="6" t="n"/>
      <c r="E15" s="6" t="n">
        <v>50</v>
      </c>
      <c r="F15" s="6" t="n"/>
      <c r="G15" s="6" t="n"/>
      <c r="H15" s="6" t="n"/>
      <c r="I15" s="6" t="n"/>
      <c r="J15" s="6" t="n"/>
      <c r="K15" s="7" t="n">
        <v>93</v>
      </c>
      <c r="L15" s="8">
        <f>ROUND(C15*K15*9.81/3600,2)</f>
        <v/>
      </c>
      <c r="M15" s="6" t="n"/>
    </row>
    <row r="16" ht="20" customHeight="1">
      <c r="A16" s="6" t="n">
        <v>9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0" customHeight="1">
      <c r="A17" s="6" t="n">
        <v>10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0" customHeight="1">
      <c r="A18" s="6" t="n">
        <v>11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0" customHeight="1">
      <c r="A19" s="6" t="n">
        <v>12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6" t="inlineStr">
        <is>
          <t>Remarks</t>
        </is>
      </c>
      <c r="B20" s="9" t="inlineStr">
        <is>
          <t>Rated flow (Qsp): 42 m³/h;  Rated head (Hsp): 122 m (catalogue head at 42 m³/h);  Rated motor power P2: 22 kW (30 HP);  Supply: 3~ 380–415 V, 50 Hz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 ht="22" customHeight="1">
      <c r="A21" s="10" t="n"/>
      <c r="B21" s="9" t="inlineStr">
        <is>
          <t>Head at rated flow (measured): ______ m;   Shaft power P2max (0.7~1.3 Qsp): ______ kW;   Overall efficiency at Qsp: ______ %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 ht="30" customHeight="1">
      <c r="A22" s="10" t="n"/>
      <c r="B22" s="9" t="inlineStr">
        <is>
          <t>Flow and head: catalogue performance table, 50 Hz, water 20 °C, tolerance ISO 9906 Annex A. Water power = Q × H × 9.81 / 3600 (kW). Blank cells: to be filled from actual test.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inlineStr">
        <is>
          <t>Tested by:</t>
        </is>
      </c>
      <c r="B24" s="1" t="n"/>
      <c r="C24" s="1" t="n"/>
      <c r="D24" s="1" t="n"/>
      <c r="E24" s="1" t="n"/>
      <c r="F24" s="1" t="inlineStr">
        <is>
          <t>Checked by:</t>
        </is>
      </c>
      <c r="G24" s="1" t="n"/>
      <c r="H24" s="1" t="n"/>
      <c r="I24" s="1" t="n"/>
      <c r="J24" s="1" t="inlineStr">
        <is>
          <t>Date:</t>
        </is>
      </c>
      <c r="K24" s="1" t="n"/>
      <c r="L24" s="1" t="n"/>
      <c r="M24" s="1" t="n"/>
    </row>
  </sheetData>
  <mergeCells count="7">
    <mergeCell ref="B20:M20"/>
    <mergeCell ref="B21:M21"/>
    <mergeCell ref="A20:A22"/>
    <mergeCell ref="B22:M22"/>
    <mergeCell ref="B5:I5"/>
    <mergeCell ref="A5:A7"/>
    <mergeCell ref="J5:M5"/>
  </mergeCells>
  <printOptions horizontalCentered="1"/>
  <pageMargins left="0.4" right="0.4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2026-10-12T06:56:25Z</dcterms:created>
  <dcterms:modified xmlns:dcterms="http://purl.org/dc/terms/" xmlns:xsi="http://www.w3.org/2001/XMLSchema-instance" xsi:type="dcterms:W3CDTF">2026-10-12T06:56:25Z</dcterms:modified>
</cp:coreProperties>
</file>