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5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M1" s="2" t="inlineStr">
        <is>
          <t>Page 1 of 1</t>
        </is>
      </c>
    </row>
    <row r="2">
      <c r="A2" s="3" t="inlineStr">
        <is>
          <t>PUMP PERFORMANCE TEST — SIMULATED DATA</t>
        </is>
      </c>
    </row>
    <row r="3">
      <c r="A3" s="4" t="inlineStr">
        <is>
          <t>Model: CDLF42-5T</t>
        </is>
      </c>
      <c r="M3" s="2" t="inlineStr">
        <is>
          <t>Pressure tap pipe dia.: 0.08 m,  Gauge height: 1.5 m</t>
        </is>
      </c>
    </row>
    <row r="5">
      <c r="A5" s="5" t="inlineStr">
        <is>
          <t>No.</t>
        </is>
      </c>
      <c r="B5" s="5" t="inlineStr">
        <is>
          <t>MEASURED VALUES (SIMULATED)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7" t="n">
        <v>1.1517</v>
      </c>
      <c r="C8" s="8" t="n">
        <v>25</v>
      </c>
      <c r="D8" s="9" t="n">
        <v>2949.7</v>
      </c>
      <c r="E8" s="10" t="n">
        <v>50</v>
      </c>
      <c r="F8" s="9" t="n">
        <v>380</v>
      </c>
      <c r="G8" s="8" t="n">
        <v>25.75</v>
      </c>
      <c r="H8" s="10" t="n">
        <v>14.44</v>
      </c>
      <c r="I8" s="8" t="n">
        <v>0.852</v>
      </c>
      <c r="J8" s="10">
        <f>ROUND((C8/3600/(PI()*0.08^2/4))^2/(2*9.81),2)</f>
        <v/>
      </c>
      <c r="K8" s="10">
        <f>ROUND(B8*1000000/(1000*9.81)+1.5+(C8/3600/(PI()*0.08^2/4))^2/(2*9.81),2)</f>
        <v/>
      </c>
      <c r="L8" s="10">
        <f>ROUND(9.81*C8*K8/3600,2)</f>
        <v/>
      </c>
      <c r="M8" s="10">
        <f>IF(H8=0,0,ROUND(L8/H8*100,2))</f>
        <v/>
      </c>
    </row>
    <row r="9" ht="20" customHeight="1">
      <c r="A9" s="6" t="n">
        <v>2</v>
      </c>
      <c r="B9" s="7" t="n">
        <v>1.1121</v>
      </c>
      <c r="C9" s="8" t="n">
        <v>30</v>
      </c>
      <c r="D9" s="9" t="n">
        <v>2947.3</v>
      </c>
      <c r="E9" s="10" t="n">
        <v>50</v>
      </c>
      <c r="F9" s="9" t="n">
        <v>380</v>
      </c>
      <c r="G9" s="8" t="n">
        <v>26.708</v>
      </c>
      <c r="H9" s="10" t="n">
        <v>15.1</v>
      </c>
      <c r="I9" s="8" t="n">
        <v>0.859</v>
      </c>
      <c r="J9" s="10">
        <f>ROUND((C9/3600/(PI()*0.08^2/4))^2/(2*9.81),2)</f>
        <v/>
      </c>
      <c r="K9" s="10">
        <f>ROUND(B9*1000000/(1000*9.81)+1.5+(C9/3600/(PI()*0.08^2/4))^2/(2*9.81),2)</f>
        <v/>
      </c>
      <c r="L9" s="10">
        <f>ROUND(9.81*C9*K9/3600,2)</f>
        <v/>
      </c>
      <c r="M9" s="10">
        <f>IF(H9=0,0,ROUND(L9/H9*100,2))</f>
        <v/>
      </c>
    </row>
    <row r="10" ht="20" customHeight="1">
      <c r="A10" s="6" t="n">
        <v>3</v>
      </c>
      <c r="B10" s="7" t="n">
        <v>1.0625</v>
      </c>
      <c r="C10" s="8" t="n">
        <v>35</v>
      </c>
      <c r="D10" s="9" t="n">
        <v>2945.1</v>
      </c>
      <c r="E10" s="10" t="n">
        <v>50</v>
      </c>
      <c r="F10" s="9" t="n">
        <v>380</v>
      </c>
      <c r="G10" s="8" t="n">
        <v>27.696</v>
      </c>
      <c r="H10" s="10" t="n">
        <v>15.75</v>
      </c>
      <c r="I10" s="8" t="n">
        <v>0.864</v>
      </c>
      <c r="J10" s="10">
        <f>ROUND((C10/3600/(PI()*0.08^2/4))^2/(2*9.81),2)</f>
        <v/>
      </c>
      <c r="K10" s="10">
        <f>ROUND(B10*1000000/(1000*9.81)+1.5+(C10/3600/(PI()*0.08^2/4))^2/(2*9.81),2)</f>
        <v/>
      </c>
      <c r="L10" s="10">
        <f>ROUND(9.81*C10*K10/3600,2)</f>
        <v/>
      </c>
      <c r="M10" s="10">
        <f>IF(H10=0,0,ROUND(L10/H10*100,2))</f>
        <v/>
      </c>
    </row>
    <row r="11" ht="20" customHeight="1">
      <c r="A11" s="6" t="n">
        <v>4</v>
      </c>
      <c r="B11" s="7" t="n">
        <v>1.0129</v>
      </c>
      <c r="C11" s="8" t="n">
        <v>40</v>
      </c>
      <c r="D11" s="9" t="n">
        <v>2942.3</v>
      </c>
      <c r="E11" s="10" t="n">
        <v>50</v>
      </c>
      <c r="F11" s="9" t="n">
        <v>380</v>
      </c>
      <c r="G11" s="8" t="n">
        <v>28.883</v>
      </c>
      <c r="H11" s="10" t="n">
        <v>16.52</v>
      </c>
      <c r="I11" s="8" t="n">
        <v>0.869</v>
      </c>
      <c r="J11" s="10">
        <f>ROUND((C11/3600/(PI()*0.08^2/4))^2/(2*9.81),2)</f>
        <v/>
      </c>
      <c r="K11" s="10">
        <f>ROUND(B11*1000000/(1000*9.81)+1.5+(C11/3600/(PI()*0.08^2/4))^2/(2*9.81),2)</f>
        <v/>
      </c>
      <c r="L11" s="10">
        <f>ROUND(9.81*C11*K11/3600,2)</f>
        <v/>
      </c>
      <c r="M11" s="10">
        <f>IF(H11=0,0,ROUND(L11/H11*100,2))</f>
        <v/>
      </c>
    </row>
    <row r="12" ht="20" customHeight="1">
      <c r="A12" s="6" t="n">
        <v>5</v>
      </c>
      <c r="B12" s="7" t="n">
        <v>0.9734</v>
      </c>
      <c r="C12" s="8" t="n">
        <v>42</v>
      </c>
      <c r="D12" s="9" t="n">
        <v>2942.2</v>
      </c>
      <c r="E12" s="10" t="n">
        <v>50</v>
      </c>
      <c r="F12" s="9" t="n">
        <v>380</v>
      </c>
      <c r="G12" s="8" t="n">
        <v>28.953</v>
      </c>
      <c r="H12" s="10" t="n">
        <v>16.56</v>
      </c>
      <c r="I12" s="8" t="n">
        <v>0.869</v>
      </c>
      <c r="J12" s="10">
        <f>ROUND((C12/3600/(PI()*0.08^2/4))^2/(2*9.81),2)</f>
        <v/>
      </c>
      <c r="K12" s="10">
        <f>ROUND(B12*1000000/(1000*9.81)+1.5+(C12/3600/(PI()*0.08^2/4))^2/(2*9.81),2)</f>
        <v/>
      </c>
      <c r="L12" s="10">
        <f>ROUND(9.81*C12*K12/3600,2)</f>
        <v/>
      </c>
      <c r="M12" s="10">
        <f>IF(H12=0,0,ROUND(L12/H12*100,2))</f>
        <v/>
      </c>
    </row>
    <row r="13" ht="20" customHeight="1">
      <c r="A13" s="6" t="n">
        <v>6</v>
      </c>
      <c r="B13" s="7" t="n">
        <v>0.9338</v>
      </c>
      <c r="C13" s="8" t="n">
        <v>45</v>
      </c>
      <c r="D13" s="9" t="n">
        <v>2940.8</v>
      </c>
      <c r="E13" s="10" t="n">
        <v>50</v>
      </c>
      <c r="F13" s="9" t="n">
        <v>380</v>
      </c>
      <c r="G13" s="8" t="n">
        <v>29.551</v>
      </c>
      <c r="H13" s="10" t="n">
        <v>16.96</v>
      </c>
      <c r="I13" s="8" t="n">
        <v>0.872</v>
      </c>
      <c r="J13" s="10">
        <f>ROUND((C13/3600/(PI()*0.08^2/4))^2/(2*9.81),2)</f>
        <v/>
      </c>
      <c r="K13" s="10">
        <f>ROUND(B13*1000000/(1000*9.81)+1.5+(C13/3600/(PI()*0.08^2/4))^2/(2*9.81),2)</f>
        <v/>
      </c>
      <c r="L13" s="10">
        <f>ROUND(9.81*C13*K13/3600,2)</f>
        <v/>
      </c>
      <c r="M13" s="10">
        <f>IF(H13=0,0,ROUND(L13/H13*100,2))</f>
        <v/>
      </c>
    </row>
    <row r="14" ht="20" customHeight="1">
      <c r="A14" s="6" t="n">
        <v>7</v>
      </c>
      <c r="B14" s="7" t="n">
        <v>0.8447</v>
      </c>
      <c r="C14" s="8" t="n">
        <v>50</v>
      </c>
      <c r="D14" s="9" t="n">
        <v>2939.6</v>
      </c>
      <c r="E14" s="10" t="n">
        <v>50</v>
      </c>
      <c r="F14" s="9" t="n">
        <v>380</v>
      </c>
      <c r="G14" s="8" t="n">
        <v>30.108</v>
      </c>
      <c r="H14" s="10" t="n">
        <v>17.3</v>
      </c>
      <c r="I14" s="8" t="n">
        <v>0.873</v>
      </c>
      <c r="J14" s="10">
        <f>ROUND((C14/3600/(PI()*0.08^2/4))^2/(2*9.81),2)</f>
        <v/>
      </c>
      <c r="K14" s="10">
        <f>ROUND(B14*1000000/(1000*9.81)+1.5+(C14/3600/(PI()*0.08^2/4))^2/(2*9.81),2)</f>
        <v/>
      </c>
      <c r="L14" s="10">
        <f>ROUND(9.81*C14*K14/3600,2)</f>
        <v/>
      </c>
      <c r="M14" s="10">
        <f>IF(H14=0,0,ROUND(L14/H14*100,2))</f>
        <v/>
      </c>
    </row>
    <row r="15" ht="20" customHeight="1">
      <c r="A15" s="6" t="n">
        <v>8</v>
      </c>
      <c r="B15" s="7" t="n">
        <v>0.7458</v>
      </c>
      <c r="C15" s="8" t="n">
        <v>55</v>
      </c>
      <c r="D15" s="9" t="n">
        <v>2938.8</v>
      </c>
      <c r="E15" s="10" t="n">
        <v>50</v>
      </c>
      <c r="F15" s="9" t="n">
        <v>380</v>
      </c>
      <c r="G15" s="8" t="n">
        <v>30.456</v>
      </c>
      <c r="H15" s="10" t="n">
        <v>17.52</v>
      </c>
      <c r="I15" s="8" t="n">
        <v>0.874</v>
      </c>
      <c r="J15" s="10">
        <f>ROUND((C15/3600/(PI()*0.08^2/4))^2/(2*9.81),2)</f>
        <v/>
      </c>
      <c r="K15" s="10">
        <f>ROUND(B15*1000000/(1000*9.81)+1.5+(C15/3600/(PI()*0.08^2/4))^2/(2*9.81),2)</f>
        <v/>
      </c>
      <c r="L15" s="10">
        <f>ROUND(9.81*C15*K15/3600,2)</f>
        <v/>
      </c>
      <c r="M15" s="10">
        <f>IF(H15=0,0,ROUND(L15/H15*100,2))</f>
        <v/>
      </c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inlineStr">
        <is>
          <t>Remarks</t>
        </is>
      </c>
      <c r="B19" s="11">
        <f>"Rated flow (Qsp): 42 m³/h;  Rated head (Hsp): 101 m;  Head at rated flow: "&amp;TEXT(K12,"0.00")&amp;" m;  Rated motor power: 18.5 kW (25 HP), 3~ 380 V, 50 Hz"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22" customHeight="1">
      <c r="A20" s="12" t="n"/>
      <c r="B20" s="11">
        <f>"Shaft power P2max (0.7~1.3 Qsp): 15.97 kW;   Overall efficiency at Qsp: "&amp;TEXT(M12,"0.00")&amp;" %;   Shaft power P2 (Qsp): 15.28 kW"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30" customHeight="1">
      <c r="A21" s="12" t="n"/>
      <c r="B21" s="11" t="inlineStr">
        <is>
          <t>SIMULATED DATA FOR INTERNAL CHECK — NOT AN ACTUAL TEST RECORD. Q–H from catalogue (50 Hz); pump/motor efficiency, power factor, speed are modelled values.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3">
      <c r="A23" s="1" t="inlineStr">
        <is>
          <t>Tested by:</t>
        </is>
      </c>
      <c r="F23" s="1" t="inlineStr">
        <is>
          <t>Checked by:</t>
        </is>
      </c>
      <c r="J23" s="1" t="inlineStr">
        <is>
          <t>Date:</t>
        </is>
      </c>
    </row>
  </sheetData>
  <mergeCells count="7">
    <mergeCell ref="B19:M19"/>
    <mergeCell ref="B20:M20"/>
    <mergeCell ref="B21:M21"/>
    <mergeCell ref="A19:A21"/>
    <mergeCell ref="B5:I5"/>
    <mergeCell ref="A5:A7"/>
    <mergeCell ref="J5:M5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2026-10-12T07:15:00Z</dcterms:created>
  <dcterms:modified xmlns:dcterms="http://purl.org/dc/terms/" xmlns:xsi="http://www.w3.org/2001/XMLSchema-instance" xsi:type="dcterms:W3CDTF">2026-10-12T07:15:00Z</dcterms:modified>
</cp:coreProperties>
</file>